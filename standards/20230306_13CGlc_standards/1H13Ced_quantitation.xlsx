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ctm/apavao/NMR/20230306_13CGlc_standards/"/>
    </mc:Choice>
  </mc:AlternateContent>
  <xr:revisionPtr revIDLastSave="0" documentId="13_ncr:1_{D6CF6099-604D-5D4C-86F5-88A3F6F28B40}" xr6:coauthVersionLast="47" xr6:coauthVersionMax="47" xr10:uidLastSave="{00000000-0000-0000-0000-000000000000}"/>
  <bookViews>
    <workbookView xWindow="38400" yWindow="500" windowWidth="38400" windowHeight="23500" activeTab="4" xr2:uid="{1465DB74-5DB9-4844-A405-EABDFD758970}"/>
  </bookViews>
  <sheets>
    <sheet name="Std A" sheetId="1" r:id="rId1"/>
    <sheet name="Std B" sheetId="3" r:id="rId2"/>
    <sheet name="Std C" sheetId="4" r:id="rId3"/>
    <sheet name="Threonine" sheetId="6" r:id="rId4"/>
    <sheet name="AVG" sheetId="5" r:id="rId5"/>
  </sheets>
  <definedNames>
    <definedName name="Std1_integrals" localSheetId="0">'Std A'!$A$1:$H$287</definedName>
    <definedName name="StdB_integrals" localSheetId="1">'Std B'!$A$1:$H$137</definedName>
    <definedName name="StdC_integrals" localSheetId="2">'Std C'!$A$1:$H$170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H3" i="5"/>
  <c r="G4" i="5"/>
  <c r="H4" i="5"/>
  <c r="G5" i="5"/>
  <c r="H5" i="5"/>
  <c r="G6" i="5"/>
  <c r="H6" i="5"/>
  <c r="G7" i="5"/>
  <c r="H7" i="5"/>
  <c r="F4" i="5"/>
  <c r="F5" i="5"/>
  <c r="I5" i="5" s="1"/>
  <c r="F6" i="5"/>
  <c r="I6" i="5" s="1"/>
  <c r="F7" i="5"/>
  <c r="F3" i="5"/>
  <c r="I3" i="5" s="1"/>
  <c r="E19" i="6"/>
  <c r="F19" i="6" s="1"/>
  <c r="E18" i="6"/>
  <c r="F18" i="6" s="1"/>
  <c r="E17" i="6"/>
  <c r="F17" i="6" s="1"/>
  <c r="E11" i="6"/>
  <c r="F11" i="6" s="1"/>
  <c r="E12" i="6"/>
  <c r="F12" i="6" s="1"/>
  <c r="E10" i="6"/>
  <c r="F10" i="6" s="1"/>
  <c r="E4" i="6"/>
  <c r="F4" i="6" s="1"/>
  <c r="E5" i="6"/>
  <c r="F5" i="6" s="1"/>
  <c r="E3" i="6"/>
  <c r="F3" i="6" s="1"/>
  <c r="R311" i="1"/>
  <c r="S311" i="1" s="1"/>
  <c r="Q311" i="1"/>
  <c r="N180" i="4"/>
  <c r="O180" i="4" s="1"/>
  <c r="N179" i="4"/>
  <c r="O179" i="4" s="1"/>
  <c r="N178" i="4"/>
  <c r="O178" i="4" s="1"/>
  <c r="N177" i="4"/>
  <c r="O177" i="4" s="1"/>
  <c r="N176" i="4"/>
  <c r="O176" i="4" s="1"/>
  <c r="N175" i="4"/>
  <c r="O175" i="4" s="1"/>
  <c r="N174" i="4"/>
  <c r="O174" i="4" s="1"/>
  <c r="M180" i="4"/>
  <c r="M160" i="4"/>
  <c r="N160" i="4" s="1"/>
  <c r="M157" i="4"/>
  <c r="M154" i="4"/>
  <c r="N154" i="4" s="1"/>
  <c r="M151" i="4"/>
  <c r="M148" i="4"/>
  <c r="N148" i="4" s="1"/>
  <c r="M145" i="4"/>
  <c r="N145" i="4" s="1"/>
  <c r="M142" i="4"/>
  <c r="N142" i="4" s="1"/>
  <c r="M139" i="4"/>
  <c r="N139" i="4" s="1"/>
  <c r="M136" i="4"/>
  <c r="M127" i="4"/>
  <c r="N127" i="4" s="1"/>
  <c r="M124" i="4"/>
  <c r="N124" i="4" s="1"/>
  <c r="M121" i="4"/>
  <c r="M118" i="4"/>
  <c r="N118" i="4" s="1"/>
  <c r="M115" i="4"/>
  <c r="M103" i="4"/>
  <c r="N103" i="4" s="1"/>
  <c r="M100" i="4"/>
  <c r="N100" i="4" s="1"/>
  <c r="M97" i="4"/>
  <c r="N97" i="4" s="1"/>
  <c r="M94" i="4"/>
  <c r="M91" i="4"/>
  <c r="M88" i="4"/>
  <c r="M85" i="4"/>
  <c r="N85" i="4" s="1"/>
  <c r="M82" i="4"/>
  <c r="N82" i="4" s="1"/>
  <c r="M79" i="4"/>
  <c r="N79" i="4" s="1"/>
  <c r="M76" i="4"/>
  <c r="N121" i="4"/>
  <c r="N91" i="4"/>
  <c r="N88" i="4"/>
  <c r="M46" i="4"/>
  <c r="N46" i="4" s="1"/>
  <c r="M43" i="4"/>
  <c r="N43" i="4" s="1"/>
  <c r="M40" i="4"/>
  <c r="N40" i="4" s="1"/>
  <c r="M25" i="4"/>
  <c r="N25" i="4" s="1"/>
  <c r="N157" i="4"/>
  <c r="N151" i="4"/>
  <c r="N115" i="4"/>
  <c r="N94" i="4"/>
  <c r="N76" i="4"/>
  <c r="M37" i="4"/>
  <c r="N37" i="4" s="1"/>
  <c r="M34" i="4"/>
  <c r="N34" i="4" s="1"/>
  <c r="M31" i="4"/>
  <c r="N31" i="4" s="1"/>
  <c r="M28" i="4"/>
  <c r="N28" i="4" s="1"/>
  <c r="M22" i="4"/>
  <c r="N22" i="4" s="1"/>
  <c r="M19" i="4"/>
  <c r="N19" i="4" s="1"/>
  <c r="M16" i="4"/>
  <c r="N16" i="4" s="1"/>
  <c r="M13" i="4"/>
  <c r="N13" i="4" s="1"/>
  <c r="M10" i="4"/>
  <c r="N10" i="4" s="1"/>
  <c r="M147" i="3"/>
  <c r="N147" i="3" s="1"/>
  <c r="O147" i="3" s="1"/>
  <c r="N142" i="3"/>
  <c r="O142" i="3" s="1"/>
  <c r="N143" i="3"/>
  <c r="O143" i="3" s="1"/>
  <c r="N144" i="3"/>
  <c r="O144" i="3" s="1"/>
  <c r="N145" i="3"/>
  <c r="O145" i="3" s="1"/>
  <c r="N146" i="3"/>
  <c r="O146" i="3" s="1"/>
  <c r="N141" i="3"/>
  <c r="O141" i="3" s="1"/>
  <c r="N130" i="3"/>
  <c r="M130" i="3"/>
  <c r="M127" i="3"/>
  <c r="N127" i="3" s="1"/>
  <c r="M124" i="3"/>
  <c r="N124" i="3" s="1"/>
  <c r="M121" i="3"/>
  <c r="N121" i="3" s="1"/>
  <c r="M118" i="3"/>
  <c r="N118" i="3" s="1"/>
  <c r="M115" i="3"/>
  <c r="N115" i="3" s="1"/>
  <c r="M112" i="3"/>
  <c r="N112" i="3" s="1"/>
  <c r="M109" i="3"/>
  <c r="N109" i="3" s="1"/>
  <c r="M106" i="3"/>
  <c r="N106" i="3" s="1"/>
  <c r="M97" i="3"/>
  <c r="N97" i="3" s="1"/>
  <c r="M94" i="3"/>
  <c r="N94" i="3" s="1"/>
  <c r="M91" i="3"/>
  <c r="N91" i="3" s="1"/>
  <c r="M88" i="3"/>
  <c r="N88" i="3" s="1"/>
  <c r="M85" i="3"/>
  <c r="N85" i="3" s="1"/>
  <c r="M76" i="3"/>
  <c r="N76" i="3" s="1"/>
  <c r="M73" i="3"/>
  <c r="N73" i="3" s="1"/>
  <c r="M70" i="3"/>
  <c r="N70" i="3" s="1"/>
  <c r="M67" i="3"/>
  <c r="N67" i="3" s="1"/>
  <c r="M64" i="3"/>
  <c r="N64" i="3" s="1"/>
  <c r="M61" i="3"/>
  <c r="N61" i="3" s="1"/>
  <c r="M58" i="3"/>
  <c r="N58" i="3" s="1"/>
  <c r="M55" i="3"/>
  <c r="N55" i="3" s="1"/>
  <c r="M52" i="3"/>
  <c r="N52" i="3" s="1"/>
  <c r="M49" i="3"/>
  <c r="N49" i="3" s="1"/>
  <c r="M37" i="3"/>
  <c r="N37" i="3" s="1"/>
  <c r="M34" i="3"/>
  <c r="N34" i="3" s="1"/>
  <c r="M31" i="3"/>
  <c r="N31" i="3" s="1"/>
  <c r="M28" i="3"/>
  <c r="N28" i="3" s="1"/>
  <c r="N25" i="3"/>
  <c r="M25" i="3"/>
  <c r="M22" i="3"/>
  <c r="N22" i="3" s="1"/>
  <c r="M19" i="3"/>
  <c r="N19" i="3" s="1"/>
  <c r="M16" i="3"/>
  <c r="N16" i="3" s="1"/>
  <c r="M13" i="3"/>
  <c r="N13" i="3" s="1"/>
  <c r="N10" i="3"/>
  <c r="M10" i="3"/>
  <c r="AC310" i="1"/>
  <c r="AD310" i="1" s="1"/>
  <c r="AC309" i="1"/>
  <c r="AD309" i="1" s="1"/>
  <c r="AC307" i="1"/>
  <c r="AD307" i="1" s="1"/>
  <c r="AC306" i="1"/>
  <c r="AD306" i="1" s="1"/>
  <c r="AC305" i="1"/>
  <c r="AD305" i="1" s="1"/>
  <c r="Z306" i="1"/>
  <c r="AA306" i="1" s="1"/>
  <c r="Z307" i="1"/>
  <c r="AA307" i="1" s="1"/>
  <c r="Z309" i="1"/>
  <c r="AA309" i="1" s="1"/>
  <c r="Z310" i="1"/>
  <c r="AA310" i="1" s="1"/>
  <c r="Z305" i="1"/>
  <c r="AA305" i="1" s="1"/>
  <c r="R317" i="1"/>
  <c r="R318" i="1"/>
  <c r="R316" i="1"/>
  <c r="X310" i="1"/>
  <c r="X309" i="1"/>
  <c r="X307" i="1"/>
  <c r="W310" i="1"/>
  <c r="W309" i="1"/>
  <c r="W307" i="1"/>
  <c r="W306" i="1"/>
  <c r="X306" i="1" s="1"/>
  <c r="W305" i="1"/>
  <c r="X305" i="1" s="1"/>
  <c r="I4" i="5" l="1"/>
  <c r="I7" i="5"/>
  <c r="P37" i="3"/>
  <c r="P160" i="4"/>
  <c r="P76" i="3"/>
  <c r="P127" i="4"/>
  <c r="P22" i="3"/>
  <c r="P64" i="3"/>
  <c r="P97" i="3"/>
  <c r="P130" i="3"/>
  <c r="P103" i="4"/>
  <c r="P25" i="4"/>
  <c r="P91" i="4"/>
  <c r="P46" i="4"/>
  <c r="N136" i="4"/>
  <c r="M291" i="1" l="1"/>
  <c r="M292" i="1"/>
  <c r="M293" i="1"/>
  <c r="M294" i="1"/>
  <c r="M290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K10" i="1"/>
  <c r="J10" i="1"/>
  <c r="Q239" i="1" l="1"/>
  <c r="R239" i="1" s="1"/>
  <c r="S239" i="1" s="1"/>
  <c r="Q272" i="1"/>
  <c r="R272" i="1" s="1"/>
  <c r="S272" i="1" s="1"/>
  <c r="Q212" i="1"/>
  <c r="R212" i="1" s="1"/>
  <c r="S212" i="1" s="1"/>
  <c r="Q200" i="1"/>
  <c r="R200" i="1" s="1"/>
  <c r="S200" i="1" s="1"/>
  <c r="Q170" i="1"/>
  <c r="R170" i="1" s="1"/>
  <c r="S170" i="1" s="1"/>
  <c r="Q152" i="1"/>
  <c r="R152" i="1" s="1"/>
  <c r="S152" i="1" s="1"/>
  <c r="Q128" i="1"/>
  <c r="R128" i="1" s="1"/>
  <c r="S128" i="1" s="1"/>
  <c r="Q119" i="1"/>
  <c r="R119" i="1" s="1"/>
  <c r="S119" i="1" s="1"/>
  <c r="Q86" i="1"/>
  <c r="R86" i="1" s="1"/>
  <c r="S86" i="1" s="1"/>
  <c r="Q68" i="1"/>
  <c r="R68" i="1" s="1"/>
  <c r="S68" i="1" s="1"/>
  <c r="Q29" i="1"/>
  <c r="R29" i="1" s="1"/>
  <c r="S29" i="1" s="1"/>
  <c r="Q14" i="1"/>
  <c r="R14" i="1" s="1"/>
  <c r="S14" i="1" s="1"/>
  <c r="Q110" i="1"/>
  <c r="R110" i="1" s="1"/>
  <c r="S110" i="1" s="1"/>
  <c r="Q53" i="1"/>
  <c r="R53" i="1" s="1"/>
  <c r="S53" i="1" s="1"/>
  <c r="Q38" i="1"/>
  <c r="R38" i="1" s="1"/>
  <c r="S3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2EA53-CEC2-7746-A964-9330761C194E}" name="Std1_integrals" type="6" refreshedVersion="8" background="1" saveData="1">
    <textPr sourceFile="/Volumes/cctm/apavao/NMR/20230306_13CGlc_standards/Std1_integrals.txt" tab="0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95021015-4996-3646-98EC-983BBA802373}" name="StdB_integrals" type="6" refreshedVersion="8" background="1" saveData="1">
    <textPr sourceFile="/Volumes/cctm/apavao/NMR/20230306_13CGlc_standards/StdB_integrals.txt" tab="0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AA7EB1BD-7839-BC42-9426-3DA858C6BD15}" name="StdC_integrals" type="6" refreshedVersion="8" background="1" saveData="1">
    <textPr sourceFile="/Volumes/cctm/apavao/NMR/20230306_13CGlc_standards/StdC_integrals.txt" tab="0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<sst xmlns="http://schemas.openxmlformats.org/spreadsheetml/2006/main" count="754" uniqueCount="73">
  <si>
    <t>Data</t>
  </si>
  <si>
    <t>set:</t>
  </si>
  <si>
    <t>/Volumes/cctm/apavao/NMR/20230306_13CGlc_standards/13/pdata/2/</t>
  </si>
  <si>
    <t>Fit</t>
  </si>
  <si>
    <t>type:</t>
  </si>
  <si>
    <t>Mixed</t>
  </si>
  <si>
    <t>Lorentzian</t>
  </si>
  <si>
    <t>and</t>
  </si>
  <si>
    <t>Gaussian</t>
  </si>
  <si>
    <t>Frequency</t>
  </si>
  <si>
    <t>Width</t>
  </si>
  <si>
    <t>Intensity</t>
  </si>
  <si>
    <t>Area</t>
  </si>
  <si>
    <t>%Lor.</t>
  </si>
  <si>
    <t>ppm</t>
  </si>
  <si>
    <t>Hz</t>
  </si>
  <si>
    <t>chisq</t>
  </si>
  <si>
    <t>STD:</t>
  </si>
  <si>
    <t>area</t>
  </si>
  <si>
    <t>Ref ppm</t>
  </si>
  <si>
    <t>Ref cpd</t>
  </si>
  <si>
    <t>Glucose</t>
  </si>
  <si>
    <t>Alanine</t>
  </si>
  <si>
    <t>Ethanol</t>
  </si>
  <si>
    <t>Butyrate</t>
  </si>
  <si>
    <t>Acetate</t>
  </si>
  <si>
    <t>Group</t>
  </si>
  <si>
    <t>Protons</t>
  </si>
  <si>
    <t>–CH(O)(OH)</t>
  </si>
  <si>
    <t>–CH2OH</t>
  </si>
  <si>
    <t>–CHNH2–</t>
  </si>
  <si>
    <t>–CHOH–</t>
  </si>
  <si>
    <t>–CH2–</t>
  </si>
  <si>
    <t>–CH3</t>
  </si>
  <si>
    <t>Signal</t>
  </si>
  <si>
    <t>Signal/proton</t>
  </si>
  <si>
    <t>Signal/proton/mM</t>
  </si>
  <si>
    <t/>
  </si>
  <si>
    <t>Raw integral</t>
  </si>
  <si>
    <t>Threonine</t>
  </si>
  <si>
    <r>
      <t>Amino (–CHNH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–)</t>
    </r>
  </si>
  <si>
    <t>Hydroxy (–CHOH–)</t>
  </si>
  <si>
    <t>Methyl</t>
  </si>
  <si>
    <t>Norm proton</t>
  </si>
  <si>
    <t>Norm cx proton</t>
  </si>
  <si>
    <t>A</t>
  </si>
  <si>
    <t>B</t>
  </si>
  <si>
    <t>C</t>
  </si>
  <si>
    <t># protons</t>
  </si>
  <si>
    <t>cx</t>
  </si>
  <si>
    <t>/Volumes/cctm/apavao/NMR/20230306_13CGlc_standards/23/pdata/2/</t>
  </si>
  <si>
    <t>Cpd</t>
  </si>
  <si>
    <t>SUM</t>
  </si>
  <si>
    <t>Sig/protons</t>
  </si>
  <si>
    <t>Sig/P/Cx</t>
  </si>
  <si>
    <t>Cx</t>
  </si>
  <si>
    <t>B+A</t>
  </si>
  <si>
    <t>/Volumes/cctm/apavao/NMR/20230306_13CGlc_standards/33/pdata/2/</t>
  </si>
  <si>
    <t>Normalized signal</t>
  </si>
  <si>
    <t>Butyrate + Alanine</t>
  </si>
  <si>
    <t>PPM shift</t>
  </si>
  <si>
    <t>1.54, 1.47</t>
  </si>
  <si>
    <t>AVG</t>
  </si>
  <si>
    <t>Exp 1</t>
  </si>
  <si>
    <t>Exp 2</t>
  </si>
  <si>
    <t>Exp 3</t>
  </si>
  <si>
    <t># Protons</t>
  </si>
  <si>
    <t>Norm. signal</t>
  </si>
  <si>
    <t>2Norm</t>
  </si>
  <si>
    <t>Program:</t>
  </si>
  <si>
    <t>hsqcphpr</t>
  </si>
  <si>
    <t>hsqcetgp</t>
  </si>
  <si>
    <t>Re-normalized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</si>
</sst>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d1_integrals" connectionId="1" xr16:uid="{7F66F8DE-B806-F04B-ACCE-133AD65F2FA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dB_integrals" connectionId="2" xr16:uid="{6D7A7B4C-71DA-3847-98BB-C0E0546A17C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dC_integrals" connectionId="3" xr16:uid="{F15C6AC0-94A7-3142-ADFF-20B6D99F22D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0597-B5AE-9E4D-9090-250F6F9D79AC}">
  <dimension ref="A1:AD319"/>
  <sheetViews>
    <sheetView topLeftCell="H276" workbookViewId="0">
      <selection activeCell="S311" activeCellId="4" sqref="S305 S306 S309 S310 S311"/>
    </sheetView>
  </sheetViews>
  <sheetFormatPr baseColWidth="10" defaultRowHeight="16" x14ac:dyDescent="0.2"/>
  <cols>
    <col min="1" max="1" width="5" bestFit="1" customWidth="1"/>
    <col min="2" max="2" width="9.5" style="2" bestFit="1" customWidth="1"/>
    <col min="3" max="3" width="11.83203125" customWidth="1"/>
    <col min="4" max="4" width="11.5" customWidth="1"/>
    <col min="5" max="5" width="11.1640625" customWidth="1"/>
    <col min="6" max="6" width="13" customWidth="1"/>
    <col min="7" max="7" width="7.6640625" style="2" customWidth="1"/>
    <col min="8" max="8" width="11.83203125" customWidth="1"/>
  </cols>
  <sheetData>
    <row r="1" spans="1:19" x14ac:dyDescent="0.2">
      <c r="A1" t="s">
        <v>0</v>
      </c>
      <c r="B1" t="s">
        <v>1</v>
      </c>
      <c r="C1" t="s">
        <v>2</v>
      </c>
    </row>
    <row r="2" spans="1:19" x14ac:dyDescent="0.2">
      <c r="B2"/>
    </row>
    <row r="3" spans="1:19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 spans="1:19" x14ac:dyDescent="0.2">
      <c r="B4"/>
    </row>
    <row r="5" spans="1:19" x14ac:dyDescent="0.2">
      <c r="A5" t="s">
        <v>3</v>
      </c>
      <c r="B5" t="s">
        <v>9</v>
      </c>
      <c r="D5" t="s">
        <v>10</v>
      </c>
      <c r="F5" t="s">
        <v>11</v>
      </c>
      <c r="G5" s="2" t="s">
        <v>12</v>
      </c>
      <c r="H5" t="s">
        <v>13</v>
      </c>
    </row>
    <row r="6" spans="1:19" x14ac:dyDescent="0.2">
      <c r="B6" s="2" t="s">
        <v>14</v>
      </c>
      <c r="C6" t="s">
        <v>15</v>
      </c>
      <c r="D6" t="s">
        <v>14</v>
      </c>
      <c r="E6" t="s">
        <v>15</v>
      </c>
      <c r="H6" t="s">
        <v>16</v>
      </c>
      <c r="J6" s="2" t="s">
        <v>14</v>
      </c>
      <c r="K6" s="2" t="s">
        <v>18</v>
      </c>
      <c r="M6" t="s">
        <v>19</v>
      </c>
      <c r="N6" t="s">
        <v>20</v>
      </c>
      <c r="O6" t="s">
        <v>26</v>
      </c>
      <c r="P6" t="s">
        <v>27</v>
      </c>
      <c r="Q6" t="s">
        <v>34</v>
      </c>
      <c r="R6" t="s">
        <v>35</v>
      </c>
      <c r="S6" t="s">
        <v>36</v>
      </c>
    </row>
    <row r="8" spans="1:19" x14ac:dyDescent="0.2">
      <c r="B8" s="2">
        <v>1</v>
      </c>
      <c r="C8" s="1">
        <v>1300000000000000</v>
      </c>
    </row>
    <row r="10" spans="1:19" x14ac:dyDescent="0.2">
      <c r="B10" s="2">
        <v>4.6139999999999999</v>
      </c>
      <c r="C10">
        <v>2768.93</v>
      </c>
      <c r="D10">
        <v>5.2100000000000002E-3</v>
      </c>
      <c r="E10">
        <v>3.129</v>
      </c>
      <c r="F10">
        <v>0.13200000000000001</v>
      </c>
      <c r="G10" s="2">
        <v>0.73499999999999999</v>
      </c>
      <c r="H10">
        <v>100</v>
      </c>
      <c r="J10">
        <f>IF(ISBLANK(B10), "", B10)</f>
        <v>4.6139999999999999</v>
      </c>
      <c r="K10">
        <f>IF(ISBLANK(G10), "", G10)</f>
        <v>0.73499999999999999</v>
      </c>
      <c r="M10">
        <v>4.63</v>
      </c>
      <c r="N10" t="s">
        <v>21</v>
      </c>
      <c r="O10" t="s">
        <v>28</v>
      </c>
      <c r="P10">
        <v>1</v>
      </c>
    </row>
    <row r="11" spans="1:19" x14ac:dyDescent="0.2">
      <c r="A11" t="s">
        <v>17</v>
      </c>
      <c r="B11" s="2">
        <v>0</v>
      </c>
      <c r="C11">
        <v>0.04</v>
      </c>
      <c r="D11">
        <v>2.1000000000000001E-4</v>
      </c>
      <c r="E11">
        <v>0.129</v>
      </c>
      <c r="F11">
        <v>3.0000000000000001E-3</v>
      </c>
      <c r="J11">
        <f t="shared" ref="J11:J24" si="0">IF(ISBLANK(B11), "", B11)</f>
        <v>0</v>
      </c>
      <c r="K11" t="str">
        <f t="shared" ref="K11:K24" si="1">IF(ISBLANK(G11), "", G11)</f>
        <v/>
      </c>
    </row>
    <row r="12" spans="1:19" x14ac:dyDescent="0.2">
      <c r="J12" t="str">
        <f t="shared" si="0"/>
        <v/>
      </c>
      <c r="K12" t="str">
        <f t="shared" si="1"/>
        <v/>
      </c>
    </row>
    <row r="13" spans="1:19" x14ac:dyDescent="0.2">
      <c r="B13" s="2">
        <v>4.5999999999999996</v>
      </c>
      <c r="C13">
        <v>2760.31</v>
      </c>
      <c r="D13">
        <v>6.8100000000000001E-3</v>
      </c>
      <c r="E13">
        <v>4.0839999999999996</v>
      </c>
      <c r="F13">
        <v>0.11700000000000001</v>
      </c>
      <c r="G13" s="2">
        <v>0.85599999999999998</v>
      </c>
      <c r="H13">
        <v>100</v>
      </c>
      <c r="J13">
        <f t="shared" si="0"/>
        <v>4.5999999999999996</v>
      </c>
      <c r="K13">
        <f t="shared" si="1"/>
        <v>0.85599999999999998</v>
      </c>
      <c r="M13">
        <v>4.63</v>
      </c>
      <c r="N13" t="s">
        <v>21</v>
      </c>
      <c r="O13" t="s">
        <v>28</v>
      </c>
      <c r="P13">
        <v>1</v>
      </c>
    </row>
    <row r="14" spans="1:19" x14ac:dyDescent="0.2">
      <c r="A14" t="s">
        <v>17</v>
      </c>
      <c r="B14" s="2">
        <v>0</v>
      </c>
      <c r="C14">
        <v>0.05</v>
      </c>
      <c r="D14">
        <v>2.7E-4</v>
      </c>
      <c r="E14">
        <v>0.16</v>
      </c>
      <c r="F14">
        <v>3.0000000000000001E-3</v>
      </c>
      <c r="J14">
        <f t="shared" si="0"/>
        <v>0</v>
      </c>
      <c r="K14" t="str">
        <f t="shared" si="1"/>
        <v/>
      </c>
      <c r="O14" t="s">
        <v>28</v>
      </c>
      <c r="Q14">
        <f>SUM(K10, K13)</f>
        <v>1.591</v>
      </c>
      <c r="R14">
        <f>Q14/P13</f>
        <v>1.591</v>
      </c>
      <c r="S14">
        <f>R14/10</f>
        <v>0.15909999999999999</v>
      </c>
    </row>
    <row r="15" spans="1:19" x14ac:dyDescent="0.2">
      <c r="J15" t="str">
        <f t="shared" si="0"/>
        <v/>
      </c>
      <c r="K15" t="str">
        <f t="shared" si="1"/>
        <v/>
      </c>
    </row>
    <row r="16" spans="1:19" x14ac:dyDescent="0.2">
      <c r="J16" t="str">
        <f t="shared" si="0"/>
        <v/>
      </c>
      <c r="K16" t="str">
        <f t="shared" si="1"/>
        <v/>
      </c>
    </row>
    <row r="17" spans="1:19" x14ac:dyDescent="0.2">
      <c r="B17" s="2">
        <v>2</v>
      </c>
      <c r="C17" s="1">
        <v>1.8E+16</v>
      </c>
      <c r="J17">
        <f t="shared" si="0"/>
        <v>2</v>
      </c>
      <c r="K17" t="str">
        <f t="shared" si="1"/>
        <v/>
      </c>
    </row>
    <row r="18" spans="1:19" x14ac:dyDescent="0.2">
      <c r="J18" t="str">
        <f t="shared" si="0"/>
        <v/>
      </c>
      <c r="K18" t="str">
        <f t="shared" si="1"/>
        <v/>
      </c>
    </row>
    <row r="19" spans="1:19" x14ac:dyDescent="0.2">
      <c r="B19" s="2">
        <v>3.8719999999999999</v>
      </c>
      <c r="C19">
        <v>2323.33</v>
      </c>
      <c r="D19">
        <v>9.7199999999999995E-3</v>
      </c>
      <c r="E19">
        <v>5.8339999999999996</v>
      </c>
      <c r="F19">
        <v>0.24299999999999999</v>
      </c>
      <c r="G19" s="2">
        <v>2.5249999999999999</v>
      </c>
      <c r="H19">
        <v>100</v>
      </c>
      <c r="J19">
        <f t="shared" si="0"/>
        <v>3.8719999999999999</v>
      </c>
      <c r="K19">
        <f t="shared" si="1"/>
        <v>2.5249999999999999</v>
      </c>
      <c r="M19">
        <v>3.89</v>
      </c>
      <c r="N19" t="s">
        <v>21</v>
      </c>
      <c r="O19" t="s">
        <v>29</v>
      </c>
      <c r="P19">
        <v>3</v>
      </c>
    </row>
    <row r="20" spans="1:19" x14ac:dyDescent="0.2">
      <c r="A20" t="s">
        <v>17</v>
      </c>
      <c r="B20" s="2">
        <v>0</v>
      </c>
      <c r="C20">
        <v>7.0000000000000007E-2</v>
      </c>
      <c r="D20">
        <v>3.4000000000000002E-4</v>
      </c>
      <c r="E20">
        <v>0.20200000000000001</v>
      </c>
      <c r="F20">
        <v>5.0000000000000001E-3</v>
      </c>
      <c r="J20">
        <f t="shared" si="0"/>
        <v>0</v>
      </c>
      <c r="K20" t="str">
        <f t="shared" si="1"/>
        <v/>
      </c>
    </row>
    <row r="21" spans="1:19" x14ac:dyDescent="0.2">
      <c r="J21" t="str">
        <f t="shared" si="0"/>
        <v/>
      </c>
      <c r="K21" t="str">
        <f t="shared" si="1"/>
        <v/>
      </c>
    </row>
    <row r="22" spans="1:19" x14ac:dyDescent="0.2">
      <c r="B22" s="2">
        <v>3.851</v>
      </c>
      <c r="C22">
        <v>2310.75</v>
      </c>
      <c r="D22">
        <v>9.1400000000000006E-3</v>
      </c>
      <c r="E22">
        <v>5.4859999999999998</v>
      </c>
      <c r="F22">
        <v>0.23899999999999999</v>
      </c>
      <c r="G22" s="2">
        <v>2.3420000000000001</v>
      </c>
      <c r="H22">
        <v>100</v>
      </c>
      <c r="J22">
        <f t="shared" si="0"/>
        <v>3.851</v>
      </c>
      <c r="K22">
        <f t="shared" si="1"/>
        <v>2.3420000000000001</v>
      </c>
      <c r="M22">
        <v>3.89</v>
      </c>
      <c r="N22" t="s">
        <v>21</v>
      </c>
      <c r="O22" t="s">
        <v>29</v>
      </c>
      <c r="P22">
        <v>3</v>
      </c>
    </row>
    <row r="23" spans="1:19" x14ac:dyDescent="0.2">
      <c r="A23" t="s">
        <v>17</v>
      </c>
      <c r="B23" s="2">
        <v>0</v>
      </c>
      <c r="C23">
        <v>0.06</v>
      </c>
      <c r="D23">
        <v>3.4000000000000002E-4</v>
      </c>
      <c r="E23">
        <v>0.20300000000000001</v>
      </c>
      <c r="F23">
        <v>6.0000000000000001E-3</v>
      </c>
      <c r="J23">
        <f t="shared" si="0"/>
        <v>0</v>
      </c>
      <c r="K23" t="str">
        <f t="shared" si="1"/>
        <v/>
      </c>
    </row>
    <row r="24" spans="1:19" x14ac:dyDescent="0.2">
      <c r="J24" t="str">
        <f t="shared" si="0"/>
        <v/>
      </c>
      <c r="K24" t="str">
        <f t="shared" si="1"/>
        <v/>
      </c>
    </row>
    <row r="25" spans="1:19" x14ac:dyDescent="0.2">
      <c r="B25" s="2">
        <v>3.8159999999999998</v>
      </c>
      <c r="C25">
        <v>2290.0300000000002</v>
      </c>
      <c r="D25">
        <v>9.4299999999999991E-3</v>
      </c>
      <c r="E25">
        <v>5.657</v>
      </c>
      <c r="F25">
        <v>0.127</v>
      </c>
      <c r="G25" s="2">
        <v>1.282</v>
      </c>
      <c r="H25">
        <v>100</v>
      </c>
      <c r="J25">
        <f t="shared" ref="J25:J88" si="2">IF(ISBLANK(B25), "", B25)</f>
        <v>3.8159999999999998</v>
      </c>
      <c r="K25">
        <f t="shared" ref="K25:K88" si="3">IF(ISBLANK(G25), "", G25)</f>
        <v>1.282</v>
      </c>
      <c r="M25">
        <v>3.82</v>
      </c>
      <c r="N25" t="s">
        <v>21</v>
      </c>
      <c r="O25" t="s">
        <v>29</v>
      </c>
      <c r="P25">
        <v>3</v>
      </c>
    </row>
    <row r="26" spans="1:19" x14ac:dyDescent="0.2">
      <c r="A26" t="s">
        <v>17</v>
      </c>
      <c r="B26" s="2">
        <v>0</v>
      </c>
      <c r="C26">
        <v>0.13</v>
      </c>
      <c r="D26">
        <v>8.0000000000000004E-4</v>
      </c>
      <c r="E26">
        <v>0.48099999999999998</v>
      </c>
      <c r="F26">
        <v>6.0000000000000001E-3</v>
      </c>
      <c r="J26">
        <f t="shared" si="2"/>
        <v>0</v>
      </c>
      <c r="K26" t="str">
        <f t="shared" si="3"/>
        <v/>
      </c>
    </row>
    <row r="27" spans="1:19" x14ac:dyDescent="0.2">
      <c r="J27" t="str">
        <f t="shared" si="2"/>
        <v/>
      </c>
      <c r="K27" t="str">
        <f t="shared" si="3"/>
        <v/>
      </c>
    </row>
    <row r="28" spans="1:19" x14ac:dyDescent="0.2">
      <c r="B28" s="2">
        <v>3.7959999999999998</v>
      </c>
      <c r="C28">
        <v>2278.1799999999998</v>
      </c>
      <c r="D28">
        <v>2.1749999999999999E-2</v>
      </c>
      <c r="E28">
        <v>13.052</v>
      </c>
      <c r="F28">
        <v>0.24</v>
      </c>
      <c r="G28" s="2">
        <v>5.5960000000000001</v>
      </c>
      <c r="H28">
        <v>100</v>
      </c>
      <c r="J28">
        <f t="shared" si="2"/>
        <v>3.7959999999999998</v>
      </c>
      <c r="K28">
        <f t="shared" si="3"/>
        <v>5.5960000000000001</v>
      </c>
      <c r="M28">
        <v>3.82</v>
      </c>
      <c r="N28" t="s">
        <v>21</v>
      </c>
      <c r="O28" t="s">
        <v>29</v>
      </c>
      <c r="P28">
        <v>3</v>
      </c>
    </row>
    <row r="29" spans="1:19" x14ac:dyDescent="0.2">
      <c r="A29" t="s">
        <v>17</v>
      </c>
      <c r="B29" s="2">
        <v>0</v>
      </c>
      <c r="C29">
        <v>0.13</v>
      </c>
      <c r="D29">
        <v>7.6999999999999996E-4</v>
      </c>
      <c r="E29">
        <v>0.46400000000000002</v>
      </c>
      <c r="F29">
        <v>4.0000000000000001E-3</v>
      </c>
      <c r="J29">
        <f t="shared" si="2"/>
        <v>0</v>
      </c>
      <c r="K29" t="str">
        <f t="shared" si="3"/>
        <v/>
      </c>
      <c r="O29" t="s">
        <v>29</v>
      </c>
      <c r="Q29">
        <f>SUM(K19, K22, K25, K28)</f>
        <v>11.745000000000001</v>
      </c>
      <c r="R29">
        <f>Q29/P28</f>
        <v>3.9150000000000005</v>
      </c>
      <c r="S29">
        <f>R29/10</f>
        <v>0.39150000000000007</v>
      </c>
    </row>
    <row r="30" spans="1:19" x14ac:dyDescent="0.2">
      <c r="J30" t="str">
        <f t="shared" si="2"/>
        <v/>
      </c>
      <c r="K30" t="str">
        <f t="shared" si="3"/>
        <v/>
      </c>
    </row>
    <row r="31" spans="1:19" x14ac:dyDescent="0.2">
      <c r="B31" s="2">
        <v>3.7650000000000001</v>
      </c>
      <c r="C31">
        <v>2259.35</v>
      </c>
      <c r="D31">
        <v>8.8500000000000002E-3</v>
      </c>
      <c r="E31">
        <v>5.3109999999999999</v>
      </c>
      <c r="F31">
        <v>0.11899999999999999</v>
      </c>
      <c r="G31" s="2">
        <v>1.1299999999999999</v>
      </c>
      <c r="H31">
        <v>100</v>
      </c>
      <c r="J31">
        <f t="shared" si="2"/>
        <v>3.7650000000000001</v>
      </c>
      <c r="K31">
        <f t="shared" si="3"/>
        <v>1.1299999999999999</v>
      </c>
      <c r="M31">
        <v>3.77</v>
      </c>
      <c r="N31" t="s">
        <v>22</v>
      </c>
      <c r="O31" t="s">
        <v>30</v>
      </c>
      <c r="P31">
        <v>1</v>
      </c>
    </row>
    <row r="32" spans="1:19" x14ac:dyDescent="0.2">
      <c r="A32" t="s">
        <v>17</v>
      </c>
      <c r="B32" s="2">
        <v>0</v>
      </c>
      <c r="C32">
        <v>0.13</v>
      </c>
      <c r="D32">
        <v>7.7999999999999999E-4</v>
      </c>
      <c r="E32">
        <v>0.46500000000000002</v>
      </c>
      <c r="F32">
        <v>6.0000000000000001E-3</v>
      </c>
      <c r="J32">
        <f t="shared" si="2"/>
        <v>0</v>
      </c>
      <c r="K32" t="str">
        <f t="shared" si="3"/>
        <v/>
      </c>
    </row>
    <row r="33" spans="1:19" x14ac:dyDescent="0.2">
      <c r="J33" t="str">
        <f t="shared" si="2"/>
        <v/>
      </c>
      <c r="K33" t="str">
        <f t="shared" si="3"/>
        <v/>
      </c>
    </row>
    <row r="34" spans="1:19" x14ac:dyDescent="0.2">
      <c r="B34" s="2">
        <v>3.7519999999999998</v>
      </c>
      <c r="C34">
        <v>2251.5300000000002</v>
      </c>
      <c r="D34">
        <v>5.0200000000000002E-3</v>
      </c>
      <c r="E34">
        <v>3.0139999999999998</v>
      </c>
      <c r="F34">
        <v>0.33400000000000002</v>
      </c>
      <c r="G34" s="2">
        <v>1.798</v>
      </c>
      <c r="H34">
        <v>100</v>
      </c>
      <c r="J34">
        <f t="shared" si="2"/>
        <v>3.7519999999999998</v>
      </c>
      <c r="K34">
        <f t="shared" si="3"/>
        <v>1.798</v>
      </c>
      <c r="M34">
        <v>3.77</v>
      </c>
      <c r="N34" t="s">
        <v>22</v>
      </c>
      <c r="O34" t="s">
        <v>30</v>
      </c>
      <c r="P34">
        <v>1</v>
      </c>
    </row>
    <row r="35" spans="1:19" x14ac:dyDescent="0.2">
      <c r="A35" t="s">
        <v>17</v>
      </c>
      <c r="B35" s="2">
        <v>0</v>
      </c>
      <c r="C35">
        <v>0.03</v>
      </c>
      <c r="D35">
        <v>2.0000000000000001E-4</v>
      </c>
      <c r="E35">
        <v>0.11799999999999999</v>
      </c>
      <c r="F35">
        <v>8.0000000000000002E-3</v>
      </c>
      <c r="J35">
        <f t="shared" si="2"/>
        <v>0</v>
      </c>
      <c r="K35" t="str">
        <f t="shared" si="3"/>
        <v/>
      </c>
    </row>
    <row r="36" spans="1:19" x14ac:dyDescent="0.2">
      <c r="J36" t="str">
        <f t="shared" si="2"/>
        <v/>
      </c>
      <c r="K36" t="str">
        <f t="shared" si="3"/>
        <v/>
      </c>
    </row>
    <row r="37" spans="1:19" x14ac:dyDescent="0.2">
      <c r="B37" s="2">
        <v>3.7389999999999999</v>
      </c>
      <c r="C37">
        <v>2243.87</v>
      </c>
      <c r="D37">
        <v>5.4299999999999999E-3</v>
      </c>
      <c r="E37">
        <v>3.2589999999999999</v>
      </c>
      <c r="F37">
        <v>0.439</v>
      </c>
      <c r="G37" s="2">
        <v>2.5510000000000002</v>
      </c>
      <c r="H37">
        <v>100</v>
      </c>
      <c r="J37">
        <f t="shared" si="2"/>
        <v>3.7389999999999999</v>
      </c>
      <c r="K37">
        <f t="shared" si="3"/>
        <v>2.5510000000000002</v>
      </c>
      <c r="M37">
        <v>3.77</v>
      </c>
      <c r="N37" t="s">
        <v>22</v>
      </c>
      <c r="O37" t="s">
        <v>30</v>
      </c>
      <c r="P37">
        <v>1</v>
      </c>
    </row>
    <row r="38" spans="1:19" x14ac:dyDescent="0.2">
      <c r="A38" t="s">
        <v>17</v>
      </c>
      <c r="B38" s="2">
        <v>0</v>
      </c>
      <c r="C38">
        <v>0.03</v>
      </c>
      <c r="D38">
        <v>1.9000000000000001E-4</v>
      </c>
      <c r="E38">
        <v>0.112</v>
      </c>
      <c r="F38">
        <v>8.0000000000000002E-3</v>
      </c>
      <c r="J38">
        <f t="shared" si="2"/>
        <v>0</v>
      </c>
      <c r="K38" t="str">
        <f t="shared" si="3"/>
        <v/>
      </c>
      <c r="O38" t="s">
        <v>30</v>
      </c>
      <c r="Q38">
        <f>SUM(K31, K34, K37)</f>
        <v>5.4790000000000001</v>
      </c>
      <c r="R38">
        <f>Q38/P43</f>
        <v>5.4790000000000001</v>
      </c>
      <c r="S38">
        <f>R38/10</f>
        <v>0.54790000000000005</v>
      </c>
    </row>
    <row r="39" spans="1:19" x14ac:dyDescent="0.2">
      <c r="J39" t="str">
        <f t="shared" si="2"/>
        <v/>
      </c>
      <c r="K39" t="str">
        <f t="shared" si="3"/>
        <v/>
      </c>
    </row>
    <row r="40" spans="1:19" x14ac:dyDescent="0.2">
      <c r="B40" s="2">
        <v>3.7280000000000002</v>
      </c>
      <c r="C40">
        <v>2237.1</v>
      </c>
      <c r="D40">
        <v>1.022E-2</v>
      </c>
      <c r="E40">
        <v>6.1319999999999997</v>
      </c>
      <c r="F40">
        <v>0.19600000000000001</v>
      </c>
      <c r="G40" s="2">
        <v>2.1429999999999998</v>
      </c>
      <c r="H40">
        <v>100</v>
      </c>
      <c r="J40">
        <f t="shared" si="2"/>
        <v>3.7280000000000002</v>
      </c>
      <c r="K40">
        <f t="shared" si="3"/>
        <v>2.1429999999999998</v>
      </c>
      <c r="M40">
        <v>3.73</v>
      </c>
      <c r="N40" t="s">
        <v>21</v>
      </c>
      <c r="O40" t="s">
        <v>29</v>
      </c>
      <c r="P40">
        <v>1</v>
      </c>
    </row>
    <row r="41" spans="1:19" x14ac:dyDescent="0.2">
      <c r="A41" t="s">
        <v>17</v>
      </c>
      <c r="B41" s="2">
        <v>0</v>
      </c>
      <c r="C41">
        <v>0.14000000000000001</v>
      </c>
      <c r="D41">
        <v>9.8999999999999999E-4</v>
      </c>
      <c r="E41">
        <v>0.59099999999999997</v>
      </c>
      <c r="F41">
        <v>7.0000000000000001E-3</v>
      </c>
      <c r="J41">
        <f t="shared" si="2"/>
        <v>0</v>
      </c>
      <c r="K41" t="str">
        <f t="shared" si="3"/>
        <v/>
      </c>
    </row>
    <row r="42" spans="1:19" x14ac:dyDescent="0.2">
      <c r="J42" t="str">
        <f t="shared" si="2"/>
        <v/>
      </c>
      <c r="K42" t="str">
        <f t="shared" si="3"/>
        <v/>
      </c>
    </row>
    <row r="43" spans="1:19" x14ac:dyDescent="0.2">
      <c r="B43" s="2">
        <v>3.7189999999999999</v>
      </c>
      <c r="C43">
        <v>2231.77</v>
      </c>
      <c r="D43">
        <v>6.4400000000000004E-3</v>
      </c>
      <c r="E43">
        <v>3.863</v>
      </c>
      <c r="F43">
        <v>0.113</v>
      </c>
      <c r="G43" s="2">
        <v>0.77800000000000002</v>
      </c>
      <c r="H43">
        <v>100</v>
      </c>
      <c r="J43">
        <f t="shared" si="2"/>
        <v>3.7189999999999999</v>
      </c>
      <c r="K43">
        <f t="shared" si="3"/>
        <v>0.77800000000000002</v>
      </c>
      <c r="M43">
        <v>3.73</v>
      </c>
      <c r="N43" t="s">
        <v>21</v>
      </c>
      <c r="O43" t="s">
        <v>29</v>
      </c>
      <c r="P43">
        <v>1</v>
      </c>
    </row>
    <row r="44" spans="1:19" x14ac:dyDescent="0.2">
      <c r="A44" t="s">
        <v>17</v>
      </c>
      <c r="B44" s="2">
        <v>0</v>
      </c>
      <c r="C44">
        <v>0.17</v>
      </c>
      <c r="D44">
        <v>1.3600000000000001E-3</v>
      </c>
      <c r="E44">
        <v>0.81399999999999995</v>
      </c>
      <c r="F44">
        <v>1.0999999999999999E-2</v>
      </c>
      <c r="J44">
        <f t="shared" si="2"/>
        <v>0</v>
      </c>
      <c r="K44" t="str">
        <f t="shared" si="3"/>
        <v/>
      </c>
    </row>
    <row r="45" spans="1:19" x14ac:dyDescent="0.2">
      <c r="J45" t="str">
        <f t="shared" si="2"/>
        <v/>
      </c>
      <c r="K45" t="str">
        <f t="shared" si="3"/>
        <v/>
      </c>
    </row>
    <row r="46" spans="1:19" x14ac:dyDescent="0.2">
      <c r="B46" s="2">
        <v>3.71</v>
      </c>
      <c r="C46">
        <v>2226.52</v>
      </c>
      <c r="D46">
        <v>8.2500000000000004E-3</v>
      </c>
      <c r="E46">
        <v>4.952</v>
      </c>
      <c r="F46">
        <v>8.7999999999999995E-2</v>
      </c>
      <c r="G46" s="2">
        <v>0.77400000000000002</v>
      </c>
      <c r="H46">
        <v>100</v>
      </c>
      <c r="J46">
        <f t="shared" si="2"/>
        <v>3.71</v>
      </c>
      <c r="K46">
        <f t="shared" si="3"/>
        <v>0.77400000000000002</v>
      </c>
      <c r="M46">
        <v>3.73</v>
      </c>
      <c r="N46" t="s">
        <v>21</v>
      </c>
      <c r="O46" t="s">
        <v>29</v>
      </c>
      <c r="P46">
        <v>1</v>
      </c>
    </row>
    <row r="47" spans="1:19" x14ac:dyDescent="0.2">
      <c r="A47" t="s">
        <v>17</v>
      </c>
      <c r="B47" s="2">
        <v>0</v>
      </c>
      <c r="C47">
        <v>0.27</v>
      </c>
      <c r="D47">
        <v>2.2499999999999998E-3</v>
      </c>
      <c r="E47">
        <v>1.35</v>
      </c>
      <c r="F47">
        <v>8.9999999999999993E-3</v>
      </c>
      <c r="J47">
        <f t="shared" si="2"/>
        <v>0</v>
      </c>
      <c r="K47" t="str">
        <f t="shared" si="3"/>
        <v/>
      </c>
    </row>
    <row r="48" spans="1:19" x14ac:dyDescent="0.2">
      <c r="J48" t="str">
        <f t="shared" si="2"/>
        <v/>
      </c>
      <c r="K48" t="str">
        <f t="shared" si="3"/>
        <v/>
      </c>
    </row>
    <row r="49" spans="1:19" x14ac:dyDescent="0.2">
      <c r="B49" s="2">
        <v>3.7010000000000001</v>
      </c>
      <c r="C49">
        <v>2221.06</v>
      </c>
      <c r="D49">
        <v>8.2699999999999996E-3</v>
      </c>
      <c r="E49">
        <v>4.9649999999999999</v>
      </c>
      <c r="F49">
        <v>0.182</v>
      </c>
      <c r="G49" s="2">
        <v>1.615</v>
      </c>
      <c r="H49">
        <v>100</v>
      </c>
      <c r="J49">
        <f t="shared" si="2"/>
        <v>3.7010000000000001</v>
      </c>
      <c r="K49">
        <f t="shared" si="3"/>
        <v>1.615</v>
      </c>
      <c r="M49">
        <v>3.7</v>
      </c>
      <c r="N49" t="s">
        <v>21</v>
      </c>
      <c r="O49" t="s">
        <v>31</v>
      </c>
      <c r="P49">
        <v>1</v>
      </c>
    </row>
    <row r="50" spans="1:19" x14ac:dyDescent="0.2">
      <c r="A50" t="s">
        <v>17</v>
      </c>
      <c r="B50" s="2">
        <v>0</v>
      </c>
      <c r="C50">
        <v>0.13</v>
      </c>
      <c r="D50">
        <v>1.06E-3</v>
      </c>
      <c r="E50">
        <v>0.63500000000000001</v>
      </c>
      <c r="F50">
        <v>0.01</v>
      </c>
      <c r="J50">
        <f t="shared" si="2"/>
        <v>0</v>
      </c>
      <c r="K50" t="str">
        <f t="shared" si="3"/>
        <v/>
      </c>
    </row>
    <row r="51" spans="1:19" x14ac:dyDescent="0.2">
      <c r="J51" t="str">
        <f t="shared" si="2"/>
        <v/>
      </c>
      <c r="K51" t="str">
        <f t="shared" si="3"/>
        <v/>
      </c>
    </row>
    <row r="52" spans="1:19" x14ac:dyDescent="0.2">
      <c r="B52" s="2">
        <v>3.6920000000000002</v>
      </c>
      <c r="C52">
        <v>2215.4699999999998</v>
      </c>
      <c r="D52">
        <v>7.2700000000000004E-3</v>
      </c>
      <c r="E52">
        <v>4.3639999999999999</v>
      </c>
      <c r="F52">
        <v>0.189</v>
      </c>
      <c r="G52" s="2">
        <v>1.472</v>
      </c>
      <c r="H52">
        <v>100</v>
      </c>
      <c r="J52">
        <f t="shared" si="2"/>
        <v>3.6920000000000002</v>
      </c>
      <c r="K52">
        <f t="shared" si="3"/>
        <v>1.472</v>
      </c>
      <c r="M52">
        <v>3.7</v>
      </c>
      <c r="N52" t="s">
        <v>21</v>
      </c>
      <c r="O52" t="s">
        <v>31</v>
      </c>
      <c r="P52">
        <v>1</v>
      </c>
    </row>
    <row r="53" spans="1:19" x14ac:dyDescent="0.2">
      <c r="A53" t="s">
        <v>17</v>
      </c>
      <c r="B53" s="2">
        <v>0</v>
      </c>
      <c r="C53">
        <v>0.1</v>
      </c>
      <c r="D53">
        <v>7.6000000000000004E-4</v>
      </c>
      <c r="E53">
        <v>0.45600000000000002</v>
      </c>
      <c r="F53">
        <v>8.9999999999999993E-3</v>
      </c>
      <c r="J53">
        <f t="shared" si="2"/>
        <v>0</v>
      </c>
      <c r="K53" t="str">
        <f t="shared" si="3"/>
        <v/>
      </c>
      <c r="Q53">
        <f>SUM(K40, K43, K46, K49, K52)</f>
        <v>6.782</v>
      </c>
      <c r="R53">
        <f>Q53/P46</f>
        <v>6.782</v>
      </c>
      <c r="S53">
        <f>R53/10</f>
        <v>0.67820000000000003</v>
      </c>
    </row>
    <row r="54" spans="1:19" x14ac:dyDescent="0.2">
      <c r="J54" t="str">
        <f t="shared" si="2"/>
        <v/>
      </c>
      <c r="K54" t="str">
        <f t="shared" si="3"/>
        <v/>
      </c>
    </row>
    <row r="55" spans="1:19" x14ac:dyDescent="0.2">
      <c r="B55" s="2">
        <v>3.68</v>
      </c>
      <c r="C55">
        <v>2208.27</v>
      </c>
      <c r="D55">
        <v>1.001E-2</v>
      </c>
      <c r="E55">
        <v>6.0039999999999996</v>
      </c>
      <c r="F55">
        <v>0.252</v>
      </c>
      <c r="G55" s="2">
        <v>2.7010000000000001</v>
      </c>
      <c r="H55">
        <v>100</v>
      </c>
      <c r="J55">
        <f t="shared" si="2"/>
        <v>3.68</v>
      </c>
      <c r="K55">
        <f t="shared" si="3"/>
        <v>2.7010000000000001</v>
      </c>
      <c r="M55">
        <v>3.7</v>
      </c>
      <c r="N55" t="s">
        <v>21</v>
      </c>
      <c r="O55" t="s">
        <v>31</v>
      </c>
      <c r="P55">
        <v>1</v>
      </c>
    </row>
    <row r="56" spans="1:19" x14ac:dyDescent="0.2">
      <c r="A56" t="s">
        <v>17</v>
      </c>
      <c r="B56" s="2">
        <v>0</v>
      </c>
      <c r="C56">
        <v>0.11</v>
      </c>
      <c r="D56">
        <v>8.0000000000000004E-4</v>
      </c>
      <c r="E56">
        <v>0.48099999999999998</v>
      </c>
      <c r="F56">
        <v>8.0000000000000002E-3</v>
      </c>
      <c r="J56">
        <f t="shared" si="2"/>
        <v>0</v>
      </c>
      <c r="K56" t="str">
        <f t="shared" si="3"/>
        <v/>
      </c>
    </row>
    <row r="57" spans="1:19" x14ac:dyDescent="0.2">
      <c r="J57" t="str">
        <f t="shared" si="2"/>
        <v/>
      </c>
      <c r="K57" t="str">
        <f t="shared" si="3"/>
        <v/>
      </c>
    </row>
    <row r="58" spans="1:19" x14ac:dyDescent="0.2">
      <c r="B58" s="2">
        <v>3.6709999999999998</v>
      </c>
      <c r="C58">
        <v>2202.67</v>
      </c>
      <c r="D58">
        <v>7.8600000000000007E-3</v>
      </c>
      <c r="E58">
        <v>4.7169999999999996</v>
      </c>
      <c r="F58">
        <v>0.17199999999999999</v>
      </c>
      <c r="G58" s="2">
        <v>1.444</v>
      </c>
      <c r="H58">
        <v>100</v>
      </c>
      <c r="J58">
        <f t="shared" si="2"/>
        <v>3.6709999999999998</v>
      </c>
      <c r="K58">
        <f t="shared" si="3"/>
        <v>1.444</v>
      </c>
      <c r="M58">
        <v>3.7</v>
      </c>
      <c r="N58" t="s">
        <v>21</v>
      </c>
      <c r="O58" t="s">
        <v>31</v>
      </c>
      <c r="P58">
        <v>1</v>
      </c>
    </row>
    <row r="59" spans="1:19" x14ac:dyDescent="0.2">
      <c r="A59" t="s">
        <v>17</v>
      </c>
      <c r="B59" s="2">
        <v>0</v>
      </c>
      <c r="C59">
        <v>0.13</v>
      </c>
      <c r="D59">
        <v>1.08E-3</v>
      </c>
      <c r="E59">
        <v>0.64700000000000002</v>
      </c>
      <c r="F59">
        <v>1.2E-2</v>
      </c>
      <c r="J59">
        <f t="shared" si="2"/>
        <v>0</v>
      </c>
      <c r="K59" t="str">
        <f t="shared" si="3"/>
        <v/>
      </c>
    </row>
    <row r="60" spans="1:19" x14ac:dyDescent="0.2">
      <c r="J60" t="str">
        <f t="shared" si="2"/>
        <v/>
      </c>
      <c r="K60" t="str">
        <f t="shared" si="3"/>
        <v/>
      </c>
    </row>
    <row r="61" spans="1:19" x14ac:dyDescent="0.2">
      <c r="B61" s="2">
        <v>3.66</v>
      </c>
      <c r="C61">
        <v>2196.21</v>
      </c>
      <c r="D61">
        <v>1.1610000000000001E-2</v>
      </c>
      <c r="E61">
        <v>6.9649999999999999</v>
      </c>
      <c r="F61">
        <v>0.09</v>
      </c>
      <c r="G61" s="2">
        <v>1.1180000000000001</v>
      </c>
      <c r="H61">
        <v>100</v>
      </c>
      <c r="J61">
        <f t="shared" si="2"/>
        <v>3.66</v>
      </c>
      <c r="K61">
        <f t="shared" si="3"/>
        <v>1.1180000000000001</v>
      </c>
      <c r="M61">
        <v>3.7</v>
      </c>
      <c r="N61" t="s">
        <v>21</v>
      </c>
      <c r="O61" t="s">
        <v>31</v>
      </c>
      <c r="P61">
        <v>1</v>
      </c>
    </row>
    <row r="62" spans="1:19" x14ac:dyDescent="0.2">
      <c r="A62" t="s">
        <v>17</v>
      </c>
      <c r="B62" s="2">
        <v>1E-3</v>
      </c>
      <c r="C62">
        <v>0.31</v>
      </c>
      <c r="D62">
        <v>2.3500000000000001E-3</v>
      </c>
      <c r="E62">
        <v>1.407</v>
      </c>
      <c r="F62">
        <v>6.0000000000000001E-3</v>
      </c>
      <c r="J62">
        <f t="shared" si="2"/>
        <v>1E-3</v>
      </c>
      <c r="K62" t="str">
        <f t="shared" si="3"/>
        <v/>
      </c>
    </row>
    <row r="63" spans="1:19" x14ac:dyDescent="0.2">
      <c r="J63" t="str">
        <f t="shared" si="2"/>
        <v/>
      </c>
      <c r="K63" t="str">
        <f t="shared" si="3"/>
        <v/>
      </c>
    </row>
    <row r="64" spans="1:19" x14ac:dyDescent="0.2">
      <c r="B64" s="2">
        <v>3.649</v>
      </c>
      <c r="C64">
        <v>2190</v>
      </c>
      <c r="D64">
        <v>3.4299999999999999E-3</v>
      </c>
      <c r="E64">
        <v>2.0609999999999999</v>
      </c>
      <c r="F64">
        <v>4.1000000000000002E-2</v>
      </c>
      <c r="G64" s="2">
        <v>0.153</v>
      </c>
      <c r="H64">
        <v>100</v>
      </c>
      <c r="J64">
        <f t="shared" si="2"/>
        <v>3.649</v>
      </c>
      <c r="K64">
        <f t="shared" si="3"/>
        <v>0.153</v>
      </c>
      <c r="M64">
        <v>3.7</v>
      </c>
      <c r="N64" t="s">
        <v>21</v>
      </c>
      <c r="O64" t="s">
        <v>31</v>
      </c>
      <c r="P64">
        <v>1</v>
      </c>
    </row>
    <row r="65" spans="1:19" x14ac:dyDescent="0.2">
      <c r="A65" t="s">
        <v>17</v>
      </c>
      <c r="B65" s="2">
        <v>0</v>
      </c>
      <c r="C65">
        <v>0.23</v>
      </c>
      <c r="D65">
        <v>1.97E-3</v>
      </c>
      <c r="E65">
        <v>1.1830000000000001</v>
      </c>
      <c r="F65">
        <v>1.0999999999999999E-2</v>
      </c>
      <c r="J65">
        <f t="shared" si="2"/>
        <v>0</v>
      </c>
      <c r="K65" t="str">
        <f t="shared" si="3"/>
        <v/>
      </c>
    </row>
    <row r="66" spans="1:19" x14ac:dyDescent="0.2">
      <c r="J66" t="str">
        <f t="shared" si="2"/>
        <v/>
      </c>
      <c r="K66" t="str">
        <f t="shared" si="3"/>
        <v/>
      </c>
    </row>
    <row r="67" spans="1:19" x14ac:dyDescent="0.2">
      <c r="B67" s="2">
        <v>3.6440000000000001</v>
      </c>
      <c r="C67">
        <v>2186.5500000000002</v>
      </c>
      <c r="D67">
        <v>1.5299999999999999E-3</v>
      </c>
      <c r="E67">
        <v>0.92</v>
      </c>
      <c r="F67">
        <v>7.9000000000000001E-2</v>
      </c>
      <c r="G67" s="2">
        <v>0.13</v>
      </c>
      <c r="H67">
        <v>100</v>
      </c>
      <c r="J67">
        <f t="shared" si="2"/>
        <v>3.6440000000000001</v>
      </c>
      <c r="K67">
        <f t="shared" si="3"/>
        <v>0.13</v>
      </c>
      <c r="M67">
        <v>3.7</v>
      </c>
      <c r="N67" t="s">
        <v>21</v>
      </c>
      <c r="O67" t="s">
        <v>31</v>
      </c>
      <c r="P67">
        <v>1</v>
      </c>
    </row>
    <row r="68" spans="1:19" x14ac:dyDescent="0.2">
      <c r="A68" t="s">
        <v>17</v>
      </c>
      <c r="B68" s="2">
        <v>0</v>
      </c>
      <c r="C68">
        <v>0.08</v>
      </c>
      <c r="D68">
        <v>1.75E-3</v>
      </c>
      <c r="E68">
        <v>1.0529999999999999</v>
      </c>
      <c r="F68">
        <v>8.4000000000000005E-2</v>
      </c>
      <c r="J68">
        <f t="shared" si="2"/>
        <v>0</v>
      </c>
      <c r="K68" t="str">
        <f t="shared" si="3"/>
        <v/>
      </c>
      <c r="O68" t="s">
        <v>31</v>
      </c>
      <c r="Q68">
        <f>SUM(K55, K58, K61, K64, K67)</f>
        <v>5.5459999999999994</v>
      </c>
      <c r="R68">
        <f>Q68/P67</f>
        <v>5.5459999999999994</v>
      </c>
      <c r="S68">
        <f>R68/10</f>
        <v>0.55459999999999998</v>
      </c>
    </row>
    <row r="69" spans="1:19" x14ac:dyDescent="0.2">
      <c r="J69" t="str">
        <f t="shared" si="2"/>
        <v/>
      </c>
      <c r="K69" t="str">
        <f t="shared" si="3"/>
        <v/>
      </c>
    </row>
    <row r="70" spans="1:19" x14ac:dyDescent="0.2">
      <c r="B70" s="2">
        <v>3.637</v>
      </c>
      <c r="C70">
        <v>2182.5100000000002</v>
      </c>
      <c r="D70">
        <v>4.96E-3</v>
      </c>
      <c r="E70">
        <v>2.9769999999999999</v>
      </c>
      <c r="F70">
        <v>0.20499999999999999</v>
      </c>
      <c r="G70" s="2">
        <v>1.091</v>
      </c>
      <c r="H70">
        <v>100</v>
      </c>
      <c r="J70">
        <f t="shared" si="2"/>
        <v>3.637</v>
      </c>
      <c r="K70">
        <f t="shared" si="3"/>
        <v>1.091</v>
      </c>
      <c r="M70">
        <v>3.65</v>
      </c>
      <c r="N70" t="s">
        <v>23</v>
      </c>
      <c r="O70" t="s">
        <v>29</v>
      </c>
      <c r="P70">
        <v>2</v>
      </c>
    </row>
    <row r="71" spans="1:19" x14ac:dyDescent="0.2">
      <c r="A71" t="s">
        <v>17</v>
      </c>
      <c r="B71" s="2">
        <v>0</v>
      </c>
      <c r="C71">
        <v>0.06</v>
      </c>
      <c r="D71">
        <v>3.3E-4</v>
      </c>
      <c r="E71">
        <v>0.19500000000000001</v>
      </c>
      <c r="F71">
        <v>8.0000000000000002E-3</v>
      </c>
      <c r="J71">
        <f t="shared" si="2"/>
        <v>0</v>
      </c>
      <c r="K71" t="str">
        <f t="shared" si="3"/>
        <v/>
      </c>
    </row>
    <row r="72" spans="1:19" x14ac:dyDescent="0.2">
      <c r="J72" t="str">
        <f t="shared" si="2"/>
        <v/>
      </c>
      <c r="K72" t="str">
        <f t="shared" si="3"/>
        <v/>
      </c>
    </row>
    <row r="73" spans="1:19" x14ac:dyDescent="0.2">
      <c r="B73" s="2">
        <v>3.625</v>
      </c>
      <c r="C73">
        <v>2175.0100000000002</v>
      </c>
      <c r="D73">
        <v>4.3299999999999996E-3</v>
      </c>
      <c r="E73">
        <v>2.5990000000000002</v>
      </c>
      <c r="F73">
        <v>0.51900000000000002</v>
      </c>
      <c r="G73" s="2">
        <v>2.4089999999999998</v>
      </c>
      <c r="H73">
        <v>100</v>
      </c>
      <c r="J73">
        <f t="shared" si="2"/>
        <v>3.625</v>
      </c>
      <c r="K73">
        <f t="shared" si="3"/>
        <v>2.4089999999999998</v>
      </c>
      <c r="M73">
        <v>3.65</v>
      </c>
      <c r="N73" t="s">
        <v>23</v>
      </c>
      <c r="O73" t="s">
        <v>29</v>
      </c>
      <c r="P73">
        <v>2</v>
      </c>
    </row>
    <row r="74" spans="1:19" x14ac:dyDescent="0.2">
      <c r="A74" t="s">
        <v>17</v>
      </c>
      <c r="B74" s="2">
        <v>0</v>
      </c>
      <c r="C74">
        <v>0.02</v>
      </c>
      <c r="D74">
        <v>1.1E-4</v>
      </c>
      <c r="E74">
        <v>6.6000000000000003E-2</v>
      </c>
      <c r="F74">
        <v>8.0000000000000002E-3</v>
      </c>
      <c r="J74">
        <f t="shared" si="2"/>
        <v>0</v>
      </c>
      <c r="K74" t="str">
        <f t="shared" si="3"/>
        <v/>
      </c>
    </row>
    <row r="75" spans="1:19" x14ac:dyDescent="0.2">
      <c r="J75" t="str">
        <f t="shared" si="2"/>
        <v/>
      </c>
      <c r="K75" t="str">
        <f t="shared" si="3"/>
        <v/>
      </c>
    </row>
    <row r="76" spans="1:19" x14ac:dyDescent="0.2">
      <c r="B76" s="2">
        <v>3.6120000000000001</v>
      </c>
      <c r="C76">
        <v>2167.4499999999998</v>
      </c>
      <c r="D76">
        <v>4.4900000000000001E-3</v>
      </c>
      <c r="E76">
        <v>2.6949999999999998</v>
      </c>
      <c r="F76">
        <v>0.52400000000000002</v>
      </c>
      <c r="G76" s="2">
        <v>2.52</v>
      </c>
      <c r="H76">
        <v>100</v>
      </c>
      <c r="J76">
        <f t="shared" si="2"/>
        <v>3.6120000000000001</v>
      </c>
      <c r="K76">
        <f t="shared" si="3"/>
        <v>2.52</v>
      </c>
      <c r="M76">
        <v>3.65</v>
      </c>
      <c r="N76" t="s">
        <v>23</v>
      </c>
      <c r="O76" t="s">
        <v>29</v>
      </c>
      <c r="P76">
        <v>2</v>
      </c>
    </row>
    <row r="77" spans="1:19" x14ac:dyDescent="0.2">
      <c r="A77" t="s">
        <v>17</v>
      </c>
      <c r="B77" s="2">
        <v>0</v>
      </c>
      <c r="C77">
        <v>0.02</v>
      </c>
      <c r="D77">
        <v>1.1E-4</v>
      </c>
      <c r="E77">
        <v>6.4000000000000001E-2</v>
      </c>
      <c r="F77">
        <v>8.0000000000000002E-3</v>
      </c>
      <c r="J77">
        <f t="shared" si="2"/>
        <v>0</v>
      </c>
      <c r="K77" t="str">
        <f t="shared" si="3"/>
        <v/>
      </c>
    </row>
    <row r="78" spans="1:19" x14ac:dyDescent="0.2">
      <c r="J78" t="str">
        <f t="shared" si="2"/>
        <v/>
      </c>
      <c r="K78" t="str">
        <f t="shared" si="3"/>
        <v/>
      </c>
    </row>
    <row r="79" spans="1:19" x14ac:dyDescent="0.2">
      <c r="B79" s="2">
        <v>3.6</v>
      </c>
      <c r="C79">
        <v>2160.06</v>
      </c>
      <c r="D79">
        <v>5.2399999999999999E-3</v>
      </c>
      <c r="E79">
        <v>3.1419999999999999</v>
      </c>
      <c r="F79">
        <v>0.20499999999999999</v>
      </c>
      <c r="G79" s="2">
        <v>1.1479999999999999</v>
      </c>
      <c r="H79">
        <v>100</v>
      </c>
      <c r="J79">
        <f t="shared" si="2"/>
        <v>3.6</v>
      </c>
      <c r="K79">
        <f t="shared" si="3"/>
        <v>1.1479999999999999</v>
      </c>
      <c r="M79">
        <v>3.65</v>
      </c>
      <c r="N79" t="s">
        <v>23</v>
      </c>
      <c r="O79" t="s">
        <v>29</v>
      </c>
      <c r="P79">
        <v>2</v>
      </c>
    </row>
    <row r="80" spans="1:19" x14ac:dyDescent="0.2">
      <c r="A80" t="s">
        <v>17</v>
      </c>
      <c r="B80" s="2">
        <v>0</v>
      </c>
      <c r="C80">
        <v>0.06</v>
      </c>
      <c r="D80">
        <v>4.2000000000000002E-4</v>
      </c>
      <c r="E80">
        <v>0.251</v>
      </c>
      <c r="F80">
        <v>8.0000000000000002E-3</v>
      </c>
      <c r="J80">
        <f t="shared" si="2"/>
        <v>0</v>
      </c>
      <c r="K80" t="str">
        <f t="shared" si="3"/>
        <v/>
      </c>
    </row>
    <row r="81" spans="1:19" x14ac:dyDescent="0.2">
      <c r="J81" t="str">
        <f t="shared" si="2"/>
        <v/>
      </c>
      <c r="K81" t="str">
        <f t="shared" si="3"/>
        <v/>
      </c>
    </row>
    <row r="82" spans="1:19" x14ac:dyDescent="0.2">
      <c r="B82" s="2">
        <v>3.589</v>
      </c>
      <c r="C82">
        <v>2153.92</v>
      </c>
      <c r="D82">
        <v>1.3509999999999999E-2</v>
      </c>
      <c r="E82">
        <v>8.1080000000000005</v>
      </c>
      <c r="F82">
        <v>3.5000000000000003E-2</v>
      </c>
      <c r="G82" s="2">
        <v>0.51200000000000001</v>
      </c>
      <c r="H82">
        <v>100</v>
      </c>
      <c r="J82">
        <f t="shared" si="2"/>
        <v>3.589</v>
      </c>
      <c r="K82">
        <f t="shared" si="3"/>
        <v>0.51200000000000001</v>
      </c>
      <c r="M82">
        <v>3.65</v>
      </c>
      <c r="N82" t="s">
        <v>23</v>
      </c>
      <c r="O82" t="s">
        <v>29</v>
      </c>
      <c r="P82">
        <v>2</v>
      </c>
    </row>
    <row r="83" spans="1:19" x14ac:dyDescent="0.2">
      <c r="A83" t="s">
        <v>17</v>
      </c>
      <c r="B83" s="2">
        <v>1E-3</v>
      </c>
      <c r="C83">
        <v>0.79</v>
      </c>
      <c r="D83">
        <v>4.4799999999999996E-3</v>
      </c>
      <c r="E83">
        <v>2.6880000000000002</v>
      </c>
      <c r="F83">
        <v>5.0000000000000001E-3</v>
      </c>
      <c r="J83">
        <f t="shared" si="2"/>
        <v>1E-3</v>
      </c>
      <c r="K83" t="str">
        <f t="shared" si="3"/>
        <v/>
      </c>
    </row>
    <row r="84" spans="1:19" x14ac:dyDescent="0.2">
      <c r="J84" t="str">
        <f t="shared" si="2"/>
        <v/>
      </c>
      <c r="K84" t="str">
        <f t="shared" si="3"/>
        <v/>
      </c>
    </row>
    <row r="85" spans="1:19" x14ac:dyDescent="0.2">
      <c r="B85" s="2">
        <v>3.5750000000000002</v>
      </c>
      <c r="C85">
        <v>2145.25</v>
      </c>
      <c r="D85">
        <v>9.1E-4</v>
      </c>
      <c r="E85">
        <v>0.54700000000000004</v>
      </c>
      <c r="F85">
        <v>2.5000000000000001E-2</v>
      </c>
      <c r="G85" s="2">
        <v>2.4E-2</v>
      </c>
      <c r="H85">
        <v>100</v>
      </c>
      <c r="J85">
        <f t="shared" si="2"/>
        <v>3.5750000000000002</v>
      </c>
      <c r="K85">
        <f t="shared" si="3"/>
        <v>2.4E-2</v>
      </c>
      <c r="M85">
        <v>3.65</v>
      </c>
      <c r="N85" t="s">
        <v>23</v>
      </c>
      <c r="O85" t="s">
        <v>29</v>
      </c>
      <c r="P85">
        <v>2</v>
      </c>
    </row>
    <row r="86" spans="1:19" x14ac:dyDescent="0.2">
      <c r="A86" t="s">
        <v>17</v>
      </c>
      <c r="B86" s="2">
        <v>1E-3</v>
      </c>
      <c r="C86">
        <v>0.88</v>
      </c>
      <c r="D86">
        <v>1.044E-2</v>
      </c>
      <c r="E86">
        <v>6.2670000000000003</v>
      </c>
      <c r="F86">
        <v>0.40400000000000003</v>
      </c>
      <c r="J86">
        <f t="shared" si="2"/>
        <v>1E-3</v>
      </c>
      <c r="K86" t="str">
        <f t="shared" si="3"/>
        <v/>
      </c>
      <c r="O86" t="s">
        <v>29</v>
      </c>
      <c r="Q86">
        <f>SUM( K70, K73, K76, K79, K82, K85)</f>
        <v>7.7039999999999997</v>
      </c>
      <c r="R86">
        <f>Q86/P85</f>
        <v>3.8519999999999999</v>
      </c>
      <c r="S86">
        <f>R86/10</f>
        <v>0.38519999999999999</v>
      </c>
    </row>
    <row r="87" spans="1:19" x14ac:dyDescent="0.2">
      <c r="J87" t="str">
        <f t="shared" si="2"/>
        <v/>
      </c>
      <c r="K87" t="str">
        <f t="shared" si="3"/>
        <v/>
      </c>
    </row>
    <row r="88" spans="1:19" x14ac:dyDescent="0.2">
      <c r="B88" s="2">
        <v>3.5059999999999998</v>
      </c>
      <c r="C88">
        <v>2103.88</v>
      </c>
      <c r="D88">
        <v>1.4250000000000001E-2</v>
      </c>
      <c r="E88">
        <v>8.5510000000000002</v>
      </c>
      <c r="F88">
        <v>0.107</v>
      </c>
      <c r="G88" s="2">
        <v>1.64</v>
      </c>
      <c r="H88">
        <v>100</v>
      </c>
      <c r="J88">
        <f t="shared" si="2"/>
        <v>3.5059999999999998</v>
      </c>
      <c r="K88">
        <f t="shared" si="3"/>
        <v>1.64</v>
      </c>
      <c r="M88">
        <v>3.47</v>
      </c>
      <c r="N88" t="s">
        <v>21</v>
      </c>
      <c r="O88" t="s">
        <v>31</v>
      </c>
      <c r="P88">
        <v>2</v>
      </c>
    </row>
    <row r="89" spans="1:19" x14ac:dyDescent="0.2">
      <c r="A89" t="s">
        <v>17</v>
      </c>
      <c r="B89" s="2">
        <v>0</v>
      </c>
      <c r="C89">
        <v>0.21</v>
      </c>
      <c r="D89">
        <v>1.09E-3</v>
      </c>
      <c r="E89">
        <v>0.65700000000000003</v>
      </c>
      <c r="F89">
        <v>5.0000000000000001E-3</v>
      </c>
      <c r="J89">
        <f t="shared" ref="J89:J152" si="4">IF(ISBLANK(B89), "", B89)</f>
        <v>0</v>
      </c>
      <c r="K89" t="str">
        <f t="shared" ref="K89:K152" si="5">IF(ISBLANK(G89), "", G89)</f>
        <v/>
      </c>
    </row>
    <row r="90" spans="1:19" x14ac:dyDescent="0.2">
      <c r="J90" t="str">
        <f t="shared" si="4"/>
        <v/>
      </c>
      <c r="K90" t="str">
        <f t="shared" si="5"/>
        <v/>
      </c>
    </row>
    <row r="91" spans="1:19" x14ac:dyDescent="0.2">
      <c r="B91" s="2">
        <v>3.4929999999999999</v>
      </c>
      <c r="C91">
        <v>2095.87</v>
      </c>
      <c r="D91">
        <v>4.4400000000000004E-3</v>
      </c>
      <c r="E91">
        <v>2.6640000000000001</v>
      </c>
      <c r="F91">
        <v>7.0999999999999994E-2</v>
      </c>
      <c r="G91" s="2">
        <v>0.33800000000000002</v>
      </c>
      <c r="H91">
        <v>100</v>
      </c>
      <c r="J91">
        <f t="shared" si="4"/>
        <v>3.4929999999999999</v>
      </c>
      <c r="K91">
        <f t="shared" si="5"/>
        <v>0.33800000000000002</v>
      </c>
      <c r="M91">
        <v>3.47</v>
      </c>
      <c r="N91" t="s">
        <v>21</v>
      </c>
      <c r="O91" t="s">
        <v>31</v>
      </c>
      <c r="P91">
        <v>2</v>
      </c>
    </row>
    <row r="92" spans="1:19" x14ac:dyDescent="0.2">
      <c r="A92" t="s">
        <v>17</v>
      </c>
      <c r="B92" s="2">
        <v>0</v>
      </c>
      <c r="C92">
        <v>0.18</v>
      </c>
      <c r="D92">
        <v>1.32E-3</v>
      </c>
      <c r="E92">
        <v>0.79100000000000004</v>
      </c>
      <c r="F92">
        <v>0.01</v>
      </c>
      <c r="J92">
        <f t="shared" si="4"/>
        <v>0</v>
      </c>
      <c r="K92" t="str">
        <f t="shared" si="5"/>
        <v/>
      </c>
    </row>
    <row r="93" spans="1:19" x14ac:dyDescent="0.2">
      <c r="J93" t="str">
        <f t="shared" si="4"/>
        <v/>
      </c>
      <c r="K93" t="str">
        <f t="shared" si="5"/>
        <v/>
      </c>
    </row>
    <row r="94" spans="1:19" x14ac:dyDescent="0.2">
      <c r="B94" s="2">
        <v>3.4860000000000002</v>
      </c>
      <c r="C94">
        <v>2091.7399999999998</v>
      </c>
      <c r="D94">
        <v>9.0399999999999994E-3</v>
      </c>
      <c r="E94">
        <v>5.4219999999999997</v>
      </c>
      <c r="F94">
        <v>0.113</v>
      </c>
      <c r="G94" s="2">
        <v>1.093</v>
      </c>
      <c r="H94">
        <v>100</v>
      </c>
      <c r="J94">
        <f t="shared" si="4"/>
        <v>3.4860000000000002</v>
      </c>
      <c r="K94">
        <f t="shared" si="5"/>
        <v>1.093</v>
      </c>
      <c r="M94">
        <v>3.47</v>
      </c>
      <c r="N94" t="s">
        <v>21</v>
      </c>
      <c r="O94" t="s">
        <v>31</v>
      </c>
      <c r="P94">
        <v>2</v>
      </c>
    </row>
    <row r="95" spans="1:19" x14ac:dyDescent="0.2">
      <c r="A95" t="s">
        <v>17</v>
      </c>
      <c r="B95" s="2">
        <v>0</v>
      </c>
      <c r="C95">
        <v>0.23</v>
      </c>
      <c r="D95">
        <v>1.31E-3</v>
      </c>
      <c r="E95">
        <v>0.78900000000000003</v>
      </c>
      <c r="F95">
        <v>7.0000000000000001E-3</v>
      </c>
      <c r="J95">
        <f t="shared" si="4"/>
        <v>0</v>
      </c>
      <c r="K95" t="str">
        <f t="shared" si="5"/>
        <v/>
      </c>
    </row>
    <row r="96" spans="1:19" x14ac:dyDescent="0.2">
      <c r="J96" t="str">
        <f t="shared" si="4"/>
        <v/>
      </c>
      <c r="K96" t="str">
        <f t="shared" si="5"/>
        <v/>
      </c>
    </row>
    <row r="97" spans="1:19" x14ac:dyDescent="0.2">
      <c r="B97" s="2">
        <v>3.468</v>
      </c>
      <c r="C97">
        <v>2081.0500000000002</v>
      </c>
      <c r="D97">
        <v>1.085E-2</v>
      </c>
      <c r="E97">
        <v>6.5119999999999996</v>
      </c>
      <c r="F97">
        <v>0.113</v>
      </c>
      <c r="G97" s="2">
        <v>1.3129999999999999</v>
      </c>
      <c r="H97">
        <v>100</v>
      </c>
      <c r="J97">
        <f t="shared" si="4"/>
        <v>3.468</v>
      </c>
      <c r="K97">
        <f t="shared" si="5"/>
        <v>1.3129999999999999</v>
      </c>
      <c r="M97">
        <v>3.47</v>
      </c>
      <c r="N97" t="s">
        <v>21</v>
      </c>
      <c r="O97" t="s">
        <v>31</v>
      </c>
      <c r="P97">
        <v>2</v>
      </c>
    </row>
    <row r="98" spans="1:19" x14ac:dyDescent="0.2">
      <c r="A98" t="s">
        <v>17</v>
      </c>
      <c r="B98" s="2">
        <v>0</v>
      </c>
      <c r="C98">
        <v>0.17</v>
      </c>
      <c r="D98">
        <v>1.1100000000000001E-3</v>
      </c>
      <c r="E98">
        <v>0.66400000000000003</v>
      </c>
      <c r="F98">
        <v>5.0000000000000001E-3</v>
      </c>
      <c r="J98">
        <f t="shared" si="4"/>
        <v>0</v>
      </c>
      <c r="K98" t="str">
        <f t="shared" si="5"/>
        <v/>
      </c>
    </row>
    <row r="99" spans="1:19" x14ac:dyDescent="0.2">
      <c r="J99" t="str">
        <f t="shared" si="4"/>
        <v/>
      </c>
      <c r="K99" t="str">
        <f t="shared" si="5"/>
        <v/>
      </c>
    </row>
    <row r="100" spans="1:19" x14ac:dyDescent="0.2">
      <c r="B100" s="2">
        <v>3.4510000000000001</v>
      </c>
      <c r="C100">
        <v>2071.04</v>
      </c>
      <c r="D100">
        <v>9.7599999999999996E-3</v>
      </c>
      <c r="E100">
        <v>5.859</v>
      </c>
      <c r="F100">
        <v>0.214</v>
      </c>
      <c r="G100" s="2">
        <v>2.2370000000000001</v>
      </c>
      <c r="H100">
        <v>100</v>
      </c>
      <c r="J100">
        <f t="shared" si="4"/>
        <v>3.4510000000000001</v>
      </c>
      <c r="K100">
        <f t="shared" si="5"/>
        <v>2.2370000000000001</v>
      </c>
      <c r="M100">
        <v>3.46</v>
      </c>
      <c r="N100" t="s">
        <v>21</v>
      </c>
      <c r="O100" t="s">
        <v>31</v>
      </c>
      <c r="P100">
        <v>2</v>
      </c>
    </row>
    <row r="101" spans="1:19" x14ac:dyDescent="0.2">
      <c r="A101" t="s">
        <v>17</v>
      </c>
      <c r="B101" s="2">
        <v>0</v>
      </c>
      <c r="C101">
        <v>0.1</v>
      </c>
      <c r="D101">
        <v>7.3999999999999999E-4</v>
      </c>
      <c r="E101">
        <v>0.442</v>
      </c>
      <c r="F101">
        <v>8.9999999999999993E-3</v>
      </c>
      <c r="J101">
        <f t="shared" si="4"/>
        <v>0</v>
      </c>
      <c r="K101" t="str">
        <f t="shared" si="5"/>
        <v/>
      </c>
    </row>
    <row r="102" spans="1:19" x14ac:dyDescent="0.2">
      <c r="J102" t="str">
        <f t="shared" si="4"/>
        <v/>
      </c>
      <c r="K102" t="str">
        <f t="shared" si="5"/>
        <v/>
      </c>
    </row>
    <row r="103" spans="1:19" x14ac:dyDescent="0.2">
      <c r="B103" s="2">
        <v>3.4350000000000001</v>
      </c>
      <c r="C103">
        <v>2061.0100000000002</v>
      </c>
      <c r="D103">
        <v>1.9369999999999998E-2</v>
      </c>
      <c r="E103">
        <v>11.622</v>
      </c>
      <c r="F103">
        <v>0.23599999999999999</v>
      </c>
      <c r="G103" s="2">
        <v>4.8840000000000003</v>
      </c>
      <c r="H103">
        <v>100</v>
      </c>
      <c r="J103">
        <f t="shared" si="4"/>
        <v>3.4350000000000001</v>
      </c>
      <c r="K103">
        <f t="shared" si="5"/>
        <v>4.8840000000000003</v>
      </c>
      <c r="M103">
        <v>3.46</v>
      </c>
      <c r="N103" t="s">
        <v>21</v>
      </c>
      <c r="O103" t="s">
        <v>31</v>
      </c>
      <c r="P103">
        <v>2</v>
      </c>
    </row>
    <row r="104" spans="1:19" x14ac:dyDescent="0.2">
      <c r="A104" t="s">
        <v>17</v>
      </c>
      <c r="B104" s="2">
        <v>0</v>
      </c>
      <c r="C104">
        <v>0.28000000000000003</v>
      </c>
      <c r="D104">
        <v>2.1700000000000001E-3</v>
      </c>
      <c r="E104">
        <v>1.304</v>
      </c>
      <c r="F104">
        <v>8.0000000000000002E-3</v>
      </c>
      <c r="J104">
        <f t="shared" si="4"/>
        <v>0</v>
      </c>
      <c r="K104" t="str">
        <f t="shared" si="5"/>
        <v/>
      </c>
    </row>
    <row r="105" spans="1:19" x14ac:dyDescent="0.2">
      <c r="J105" t="str">
        <f t="shared" si="4"/>
        <v/>
      </c>
      <c r="K105" t="str">
        <f t="shared" si="5"/>
        <v/>
      </c>
    </row>
    <row r="106" spans="1:19" x14ac:dyDescent="0.2">
      <c r="B106" s="2">
        <v>3.4249999999999998</v>
      </c>
      <c r="C106">
        <v>2055.41</v>
      </c>
      <c r="D106">
        <v>5.4900000000000001E-3</v>
      </c>
      <c r="E106">
        <v>3.294</v>
      </c>
      <c r="F106">
        <v>6.8000000000000005E-2</v>
      </c>
      <c r="G106" s="2">
        <v>0.39800000000000002</v>
      </c>
      <c r="H106">
        <v>100</v>
      </c>
      <c r="J106">
        <f t="shared" si="4"/>
        <v>3.4249999999999998</v>
      </c>
      <c r="K106">
        <f t="shared" si="5"/>
        <v>0.39800000000000002</v>
      </c>
      <c r="M106">
        <v>3.46</v>
      </c>
      <c r="N106" t="s">
        <v>21</v>
      </c>
      <c r="O106" t="s">
        <v>31</v>
      </c>
      <c r="P106">
        <v>2</v>
      </c>
    </row>
    <row r="107" spans="1:19" x14ac:dyDescent="0.2">
      <c r="A107" t="s">
        <v>17</v>
      </c>
      <c r="B107" s="2">
        <v>0</v>
      </c>
      <c r="C107">
        <v>0.24</v>
      </c>
      <c r="D107">
        <v>2.0799999999999998E-3</v>
      </c>
      <c r="E107">
        <v>1.25</v>
      </c>
      <c r="F107">
        <v>1.6E-2</v>
      </c>
      <c r="J107">
        <f t="shared" si="4"/>
        <v>0</v>
      </c>
      <c r="K107" t="str">
        <f t="shared" si="5"/>
        <v/>
      </c>
    </row>
    <row r="108" spans="1:19" x14ac:dyDescent="0.2">
      <c r="J108" t="str">
        <f t="shared" si="4"/>
        <v/>
      </c>
      <c r="K108" t="str">
        <f t="shared" si="5"/>
        <v/>
      </c>
    </row>
    <row r="109" spans="1:19" x14ac:dyDescent="0.2">
      <c r="B109" s="2">
        <v>3.415</v>
      </c>
      <c r="C109">
        <v>2049.4</v>
      </c>
      <c r="D109">
        <v>1.848E-2</v>
      </c>
      <c r="E109">
        <v>11.092000000000001</v>
      </c>
      <c r="F109">
        <v>0.184</v>
      </c>
      <c r="G109" s="2">
        <v>3.64</v>
      </c>
      <c r="H109">
        <v>100</v>
      </c>
      <c r="J109">
        <f t="shared" si="4"/>
        <v>3.415</v>
      </c>
      <c r="K109">
        <f t="shared" si="5"/>
        <v>3.64</v>
      </c>
      <c r="M109">
        <v>3.46</v>
      </c>
      <c r="N109" t="s">
        <v>21</v>
      </c>
      <c r="O109" t="s">
        <v>31</v>
      </c>
      <c r="P109">
        <v>2</v>
      </c>
    </row>
    <row r="110" spans="1:19" x14ac:dyDescent="0.2">
      <c r="A110" t="s">
        <v>17</v>
      </c>
      <c r="B110" s="2">
        <v>0</v>
      </c>
      <c r="C110">
        <v>0.27</v>
      </c>
      <c r="D110">
        <v>1.31E-3</v>
      </c>
      <c r="E110">
        <v>0.78400000000000003</v>
      </c>
      <c r="F110">
        <v>8.9999999999999993E-3</v>
      </c>
      <c r="J110">
        <f t="shared" si="4"/>
        <v>0</v>
      </c>
      <c r="K110" t="str">
        <f t="shared" si="5"/>
        <v/>
      </c>
      <c r="O110" t="s">
        <v>31</v>
      </c>
      <c r="Q110">
        <f>SUM(K88, K91, K94, K97, K100, K103, K106, K109)</f>
        <v>15.542999999999999</v>
      </c>
      <c r="R110">
        <f>Q110/P109</f>
        <v>7.7714999999999996</v>
      </c>
      <c r="S110">
        <f>R110/10</f>
        <v>0.77715000000000001</v>
      </c>
    </row>
    <row r="111" spans="1:19" x14ac:dyDescent="0.2">
      <c r="J111" t="str">
        <f t="shared" si="4"/>
        <v/>
      </c>
      <c r="K111" t="str">
        <f t="shared" si="5"/>
        <v/>
      </c>
    </row>
    <row r="112" spans="1:19" x14ac:dyDescent="0.2">
      <c r="B112" s="2">
        <v>3.3820000000000001</v>
      </c>
      <c r="C112">
        <v>2029.29</v>
      </c>
      <c r="D112">
        <v>1.41E-2</v>
      </c>
      <c r="E112">
        <v>8.4600000000000009</v>
      </c>
      <c r="F112">
        <v>0.23499999999999999</v>
      </c>
      <c r="G112" s="2">
        <v>3.5529999999999999</v>
      </c>
      <c r="H112">
        <v>100</v>
      </c>
      <c r="J112">
        <f t="shared" si="4"/>
        <v>3.3820000000000001</v>
      </c>
      <c r="K112">
        <f t="shared" si="5"/>
        <v>3.5529999999999999</v>
      </c>
      <c r="M112">
        <v>3.4</v>
      </c>
      <c r="N112" t="s">
        <v>21</v>
      </c>
      <c r="O112" t="s">
        <v>31</v>
      </c>
      <c r="P112">
        <v>2</v>
      </c>
    </row>
    <row r="113" spans="1:19" x14ac:dyDescent="0.2">
      <c r="A113" t="s">
        <v>17</v>
      </c>
      <c r="B113" s="2">
        <v>0</v>
      </c>
      <c r="C113">
        <v>0.11</v>
      </c>
      <c r="D113">
        <v>6.6E-4</v>
      </c>
      <c r="E113">
        <v>0.39800000000000002</v>
      </c>
      <c r="F113">
        <v>5.0000000000000001E-3</v>
      </c>
      <c r="J113">
        <f t="shared" si="4"/>
        <v>0</v>
      </c>
      <c r="K113" t="str">
        <f t="shared" si="5"/>
        <v/>
      </c>
    </row>
    <row r="114" spans="1:19" x14ac:dyDescent="0.2">
      <c r="J114" t="str">
        <f t="shared" si="4"/>
        <v/>
      </c>
      <c r="K114" t="str">
        <f t="shared" si="5"/>
        <v/>
      </c>
    </row>
    <row r="115" spans="1:19" x14ac:dyDescent="0.2">
      <c r="B115" s="2">
        <v>3.367</v>
      </c>
      <c r="C115">
        <v>2020.27</v>
      </c>
      <c r="D115">
        <v>9.7900000000000001E-3</v>
      </c>
      <c r="E115">
        <v>5.875</v>
      </c>
      <c r="F115">
        <v>0.248</v>
      </c>
      <c r="G115" s="2">
        <v>2.6019999999999999</v>
      </c>
      <c r="H115">
        <v>100</v>
      </c>
      <c r="J115">
        <f t="shared" si="4"/>
        <v>3.367</v>
      </c>
      <c r="K115">
        <f t="shared" si="5"/>
        <v>2.6019999999999999</v>
      </c>
      <c r="M115">
        <v>3.4</v>
      </c>
      <c r="N115" t="s">
        <v>21</v>
      </c>
      <c r="O115" t="s">
        <v>31</v>
      </c>
      <c r="P115">
        <v>2</v>
      </c>
    </row>
    <row r="116" spans="1:19" x14ac:dyDescent="0.2">
      <c r="A116" t="s">
        <v>17</v>
      </c>
      <c r="B116" s="2">
        <v>0</v>
      </c>
      <c r="C116">
        <v>0.08</v>
      </c>
      <c r="D116">
        <v>6.0999999999999997E-4</v>
      </c>
      <c r="E116">
        <v>0.36499999999999999</v>
      </c>
      <c r="F116">
        <v>7.0000000000000001E-3</v>
      </c>
      <c r="J116">
        <f t="shared" si="4"/>
        <v>0</v>
      </c>
      <c r="K116" t="str">
        <f t="shared" si="5"/>
        <v/>
      </c>
    </row>
    <row r="117" spans="1:19" x14ac:dyDescent="0.2">
      <c r="J117" t="str">
        <f t="shared" si="4"/>
        <v/>
      </c>
      <c r="K117" t="str">
        <f t="shared" si="5"/>
        <v/>
      </c>
    </row>
    <row r="118" spans="1:19" x14ac:dyDescent="0.2">
      <c r="B118" s="2">
        <v>3.3519999999999999</v>
      </c>
      <c r="C118">
        <v>2011.31</v>
      </c>
      <c r="D118">
        <v>1.7139999999999999E-2</v>
      </c>
      <c r="E118">
        <v>10.286</v>
      </c>
      <c r="F118">
        <v>0.123</v>
      </c>
      <c r="G118" s="2">
        <v>2.2549999999999999</v>
      </c>
      <c r="H118">
        <v>100</v>
      </c>
      <c r="J118">
        <f t="shared" si="4"/>
        <v>3.3519999999999999</v>
      </c>
      <c r="K118">
        <f t="shared" si="5"/>
        <v>2.2549999999999999</v>
      </c>
      <c r="M118">
        <v>3.4</v>
      </c>
      <c r="N118" t="s">
        <v>21</v>
      </c>
      <c r="O118" t="s">
        <v>31</v>
      </c>
      <c r="P118">
        <v>2</v>
      </c>
    </row>
    <row r="119" spans="1:19" x14ac:dyDescent="0.2">
      <c r="A119" t="s">
        <v>17</v>
      </c>
      <c r="B119" s="2">
        <v>0</v>
      </c>
      <c r="C119">
        <v>0.26</v>
      </c>
      <c r="D119">
        <v>1.1999999999999999E-3</v>
      </c>
      <c r="E119">
        <v>0.72099999999999997</v>
      </c>
      <c r="F119">
        <v>5.0000000000000001E-3</v>
      </c>
      <c r="J119">
        <f t="shared" si="4"/>
        <v>0</v>
      </c>
      <c r="K119" t="str">
        <f t="shared" si="5"/>
        <v/>
      </c>
      <c r="O119" t="s">
        <v>31</v>
      </c>
      <c r="Q119">
        <f>SUM(K112, K115, K118)</f>
        <v>8.41</v>
      </c>
      <c r="R119">
        <f>Q119/P118</f>
        <v>4.2050000000000001</v>
      </c>
      <c r="S119">
        <f>R119/10</f>
        <v>0.42049999999999998</v>
      </c>
    </row>
    <row r="120" spans="1:19" x14ac:dyDescent="0.2">
      <c r="J120" t="str">
        <f t="shared" si="4"/>
        <v/>
      </c>
      <c r="K120" t="str">
        <f t="shared" si="5"/>
        <v/>
      </c>
    </row>
    <row r="121" spans="1:19" x14ac:dyDescent="0.2">
      <c r="B121" s="2">
        <v>3.2250000000000001</v>
      </c>
      <c r="C121">
        <v>1935</v>
      </c>
      <c r="D121">
        <v>6.5199999999999998E-3</v>
      </c>
      <c r="E121">
        <v>3.9119999999999999</v>
      </c>
      <c r="F121">
        <v>0.121</v>
      </c>
      <c r="G121" s="2">
        <v>0.84799999999999998</v>
      </c>
      <c r="H121">
        <v>100</v>
      </c>
      <c r="J121">
        <f t="shared" si="4"/>
        <v>3.2250000000000001</v>
      </c>
      <c r="K121">
        <f t="shared" si="5"/>
        <v>0.84799999999999998</v>
      </c>
      <c r="M121">
        <v>3.23</v>
      </c>
      <c r="N121" t="s">
        <v>21</v>
      </c>
      <c r="O121" t="s">
        <v>31</v>
      </c>
      <c r="P121">
        <v>1</v>
      </c>
    </row>
    <row r="122" spans="1:19" x14ac:dyDescent="0.2">
      <c r="A122" t="s">
        <v>17</v>
      </c>
      <c r="B122" s="2">
        <v>0</v>
      </c>
      <c r="C122">
        <v>0.11</v>
      </c>
      <c r="D122">
        <v>5.6999999999999998E-4</v>
      </c>
      <c r="E122">
        <v>0.34100000000000003</v>
      </c>
      <c r="F122">
        <v>7.0000000000000001E-3</v>
      </c>
      <c r="J122">
        <f t="shared" si="4"/>
        <v>0</v>
      </c>
      <c r="K122" t="str">
        <f t="shared" si="5"/>
        <v/>
      </c>
    </row>
    <row r="123" spans="1:19" x14ac:dyDescent="0.2">
      <c r="J123" t="str">
        <f t="shared" si="4"/>
        <v/>
      </c>
      <c r="K123" t="str">
        <f t="shared" si="5"/>
        <v/>
      </c>
    </row>
    <row r="124" spans="1:19" x14ac:dyDescent="0.2">
      <c r="B124" s="2">
        <v>3.2080000000000002</v>
      </c>
      <c r="C124">
        <v>1925.21</v>
      </c>
      <c r="D124">
        <v>9.7300000000000008E-3</v>
      </c>
      <c r="E124">
        <v>5.8380000000000001</v>
      </c>
      <c r="F124">
        <v>0.22600000000000001</v>
      </c>
      <c r="G124" s="2">
        <v>2.3530000000000002</v>
      </c>
      <c r="H124">
        <v>100</v>
      </c>
      <c r="J124">
        <f t="shared" si="4"/>
        <v>3.2080000000000002</v>
      </c>
      <c r="K124">
        <f t="shared" si="5"/>
        <v>2.3530000000000002</v>
      </c>
      <c r="M124">
        <v>3.23</v>
      </c>
      <c r="N124" t="s">
        <v>21</v>
      </c>
      <c r="O124" t="s">
        <v>31</v>
      </c>
      <c r="P124">
        <v>1</v>
      </c>
    </row>
    <row r="125" spans="1:19" x14ac:dyDescent="0.2">
      <c r="A125" t="s">
        <v>17</v>
      </c>
      <c r="B125" s="2">
        <v>0</v>
      </c>
      <c r="C125">
        <v>0.08</v>
      </c>
      <c r="D125">
        <v>4.8000000000000001E-4</v>
      </c>
      <c r="E125">
        <v>0.28799999999999998</v>
      </c>
      <c r="F125">
        <v>5.0000000000000001E-3</v>
      </c>
      <c r="J125">
        <f t="shared" si="4"/>
        <v>0</v>
      </c>
      <c r="K125" t="str">
        <f t="shared" si="5"/>
        <v/>
      </c>
    </row>
    <row r="126" spans="1:19" x14ac:dyDescent="0.2">
      <c r="J126" t="str">
        <f t="shared" si="4"/>
        <v/>
      </c>
      <c r="K126" t="str">
        <f t="shared" si="5"/>
        <v/>
      </c>
    </row>
    <row r="127" spans="1:19" x14ac:dyDescent="0.2">
      <c r="B127" s="2">
        <v>3.1920000000000002</v>
      </c>
      <c r="C127">
        <v>1915.59</v>
      </c>
      <c r="D127">
        <v>1.125E-2</v>
      </c>
      <c r="E127">
        <v>6.7489999999999997</v>
      </c>
      <c r="F127">
        <v>0.13800000000000001</v>
      </c>
      <c r="G127" s="2">
        <v>1.6579999999999999</v>
      </c>
      <c r="H127">
        <v>100</v>
      </c>
      <c r="J127">
        <f t="shared" si="4"/>
        <v>3.1920000000000002</v>
      </c>
      <c r="K127">
        <f t="shared" si="5"/>
        <v>1.6579999999999999</v>
      </c>
      <c r="M127">
        <v>3.23</v>
      </c>
      <c r="N127" t="s">
        <v>21</v>
      </c>
      <c r="O127" t="s">
        <v>31</v>
      </c>
      <c r="P127">
        <v>1</v>
      </c>
    </row>
    <row r="128" spans="1:19" x14ac:dyDescent="0.2">
      <c r="A128" t="s">
        <v>17</v>
      </c>
      <c r="B128" s="2">
        <v>0</v>
      </c>
      <c r="C128">
        <v>0.14000000000000001</v>
      </c>
      <c r="D128">
        <v>7.3999999999999999E-4</v>
      </c>
      <c r="E128">
        <v>0.441</v>
      </c>
      <c r="F128">
        <v>5.0000000000000001E-3</v>
      </c>
      <c r="J128">
        <f t="shared" si="4"/>
        <v>0</v>
      </c>
      <c r="K128" t="str">
        <f t="shared" si="5"/>
        <v/>
      </c>
      <c r="O128" t="s">
        <v>31</v>
      </c>
      <c r="Q128">
        <f>SUM(K121, K124, K127)</f>
        <v>4.859</v>
      </c>
      <c r="R128">
        <f>Q128/P127</f>
        <v>4.859</v>
      </c>
      <c r="S128">
        <f>R128/10</f>
        <v>0.4859</v>
      </c>
    </row>
    <row r="129" spans="1:16" x14ac:dyDescent="0.2">
      <c r="J129" t="str">
        <f t="shared" si="4"/>
        <v/>
      </c>
      <c r="K129" t="str">
        <f t="shared" si="5"/>
        <v/>
      </c>
    </row>
    <row r="130" spans="1:16" x14ac:dyDescent="0.2">
      <c r="J130" t="str">
        <f t="shared" si="4"/>
        <v/>
      </c>
      <c r="K130" t="str">
        <f t="shared" si="5"/>
        <v/>
      </c>
    </row>
    <row r="131" spans="1:16" x14ac:dyDescent="0.2">
      <c r="B131" s="2">
        <v>3</v>
      </c>
      <c r="C131" s="1">
        <v>2.3E+16</v>
      </c>
      <c r="J131">
        <f t="shared" si="4"/>
        <v>3</v>
      </c>
      <c r="K131" t="str">
        <f t="shared" si="5"/>
        <v/>
      </c>
    </row>
    <row r="132" spans="1:16" x14ac:dyDescent="0.2">
      <c r="J132" t="str">
        <f t="shared" si="4"/>
        <v/>
      </c>
      <c r="K132" t="str">
        <f t="shared" si="5"/>
        <v/>
      </c>
    </row>
    <row r="133" spans="1:16" x14ac:dyDescent="0.2">
      <c r="B133" s="2">
        <v>2.5640000000000001</v>
      </c>
      <c r="C133">
        <v>1538.37</v>
      </c>
      <c r="D133">
        <v>7.0699999999999999E-3</v>
      </c>
      <c r="E133">
        <v>4.2430000000000003</v>
      </c>
      <c r="F133">
        <v>1.2E-2</v>
      </c>
      <c r="G133" s="2">
        <v>9.1999999999999998E-2</v>
      </c>
      <c r="H133">
        <v>100</v>
      </c>
      <c r="J133">
        <f t="shared" si="4"/>
        <v>2.5640000000000001</v>
      </c>
      <c r="K133">
        <f t="shared" si="5"/>
        <v>9.1999999999999998E-2</v>
      </c>
    </row>
    <row r="134" spans="1:16" x14ac:dyDescent="0.2">
      <c r="A134" t="s">
        <v>17</v>
      </c>
      <c r="B134" s="2">
        <v>1E-3</v>
      </c>
      <c r="C134">
        <v>0.86</v>
      </c>
      <c r="D134">
        <v>4.0600000000000002E-3</v>
      </c>
      <c r="E134">
        <v>2.4350000000000001</v>
      </c>
      <c r="F134">
        <v>5.0000000000000001E-3</v>
      </c>
      <c r="J134">
        <f t="shared" si="4"/>
        <v>1E-3</v>
      </c>
      <c r="K134" t="str">
        <f t="shared" si="5"/>
        <v/>
      </c>
    </row>
    <row r="135" spans="1:16" x14ac:dyDescent="0.2">
      <c r="J135" t="str">
        <f t="shared" si="4"/>
        <v/>
      </c>
      <c r="K135" t="str">
        <f t="shared" si="5"/>
        <v/>
      </c>
    </row>
    <row r="136" spans="1:16" x14ac:dyDescent="0.2">
      <c r="B136" s="2">
        <v>2.2320000000000002</v>
      </c>
      <c r="C136">
        <v>1339.29</v>
      </c>
      <c r="D136">
        <v>2.316E-2</v>
      </c>
      <c r="E136">
        <v>13.896000000000001</v>
      </c>
      <c r="F136">
        <v>1.6E-2</v>
      </c>
      <c r="G136" s="2">
        <v>0.39100000000000001</v>
      </c>
      <c r="H136">
        <v>100</v>
      </c>
      <c r="J136">
        <f t="shared" si="4"/>
        <v>2.2320000000000002</v>
      </c>
      <c r="K136">
        <f t="shared" si="5"/>
        <v>0.39100000000000001</v>
      </c>
    </row>
    <row r="137" spans="1:16" x14ac:dyDescent="0.2">
      <c r="A137" t="s">
        <v>17</v>
      </c>
      <c r="B137" s="2">
        <v>2E-3</v>
      </c>
      <c r="C137">
        <v>1.2</v>
      </c>
      <c r="D137">
        <v>5.7499999999999999E-3</v>
      </c>
      <c r="E137">
        <v>3.4489999999999998</v>
      </c>
      <c r="F137">
        <v>3.0000000000000001E-3</v>
      </c>
      <c r="J137">
        <f t="shared" si="4"/>
        <v>2E-3</v>
      </c>
      <c r="K137" t="str">
        <f t="shared" si="5"/>
        <v/>
      </c>
    </row>
    <row r="138" spans="1:16" x14ac:dyDescent="0.2">
      <c r="J138" t="str">
        <f t="shared" si="4"/>
        <v/>
      </c>
      <c r="K138" t="str">
        <f t="shared" si="5"/>
        <v/>
      </c>
    </row>
    <row r="139" spans="1:16" x14ac:dyDescent="0.2">
      <c r="B139" s="2">
        <v>2.1440000000000001</v>
      </c>
      <c r="C139">
        <v>1286.72</v>
      </c>
      <c r="D139">
        <v>1.0070000000000001E-2</v>
      </c>
      <c r="E139">
        <v>6.0430000000000001</v>
      </c>
      <c r="F139">
        <v>0.111</v>
      </c>
      <c r="G139" s="2">
        <v>1.1950000000000001</v>
      </c>
      <c r="H139">
        <v>100</v>
      </c>
      <c r="J139">
        <f t="shared" si="4"/>
        <v>2.1440000000000001</v>
      </c>
      <c r="K139">
        <f t="shared" si="5"/>
        <v>1.1950000000000001</v>
      </c>
      <c r="M139">
        <v>2.14</v>
      </c>
      <c r="N139" t="s">
        <v>24</v>
      </c>
      <c r="O139" t="s">
        <v>32</v>
      </c>
      <c r="P139">
        <v>2</v>
      </c>
    </row>
    <row r="140" spans="1:16" x14ac:dyDescent="0.2">
      <c r="A140" t="s">
        <v>17</v>
      </c>
      <c r="B140" s="2">
        <v>0</v>
      </c>
      <c r="C140">
        <v>0.14000000000000001</v>
      </c>
      <c r="D140">
        <v>7.3999999999999999E-4</v>
      </c>
      <c r="E140">
        <v>0.443</v>
      </c>
      <c r="F140">
        <v>4.0000000000000001E-3</v>
      </c>
      <c r="J140">
        <f t="shared" si="4"/>
        <v>0</v>
      </c>
      <c r="K140" t="str">
        <f t="shared" si="5"/>
        <v/>
      </c>
    </row>
    <row r="141" spans="1:16" x14ac:dyDescent="0.2">
      <c r="J141" t="str">
        <f t="shared" si="4"/>
        <v/>
      </c>
      <c r="K141" t="str">
        <f t="shared" si="5"/>
        <v/>
      </c>
    </row>
    <row r="142" spans="1:16" x14ac:dyDescent="0.2">
      <c r="B142" s="2">
        <v>2.13</v>
      </c>
      <c r="C142">
        <v>1278.2</v>
      </c>
      <c r="D142">
        <v>1.022E-2</v>
      </c>
      <c r="E142">
        <v>6.13</v>
      </c>
      <c r="F142">
        <v>0.23499999999999999</v>
      </c>
      <c r="G142" s="2">
        <v>2.5680000000000001</v>
      </c>
      <c r="H142">
        <v>100</v>
      </c>
      <c r="J142">
        <f t="shared" si="4"/>
        <v>2.13</v>
      </c>
      <c r="K142">
        <f t="shared" si="5"/>
        <v>2.5680000000000001</v>
      </c>
      <c r="M142">
        <v>2.14</v>
      </c>
      <c r="N142" t="s">
        <v>24</v>
      </c>
      <c r="O142" t="s">
        <v>32</v>
      </c>
      <c r="P142">
        <v>2</v>
      </c>
    </row>
    <row r="143" spans="1:16" x14ac:dyDescent="0.2">
      <c r="A143" t="s">
        <v>17</v>
      </c>
      <c r="B143" s="2">
        <v>0</v>
      </c>
      <c r="C143">
        <v>0.08</v>
      </c>
      <c r="D143">
        <v>5.8E-4</v>
      </c>
      <c r="E143">
        <v>0.34599999999999997</v>
      </c>
      <c r="F143">
        <v>6.0000000000000001E-3</v>
      </c>
      <c r="J143">
        <f t="shared" si="4"/>
        <v>0</v>
      </c>
      <c r="K143" t="str">
        <f t="shared" si="5"/>
        <v/>
      </c>
    </row>
    <row r="144" spans="1:16" x14ac:dyDescent="0.2">
      <c r="J144" t="str">
        <f t="shared" si="4"/>
        <v/>
      </c>
      <c r="K144" t="str">
        <f t="shared" si="5"/>
        <v/>
      </c>
    </row>
    <row r="145" spans="1:19" x14ac:dyDescent="0.2">
      <c r="B145" s="2">
        <v>2.117</v>
      </c>
      <c r="C145">
        <v>1270.43</v>
      </c>
      <c r="D145">
        <v>1.3129999999999999E-2</v>
      </c>
      <c r="E145">
        <v>7.8769999999999998</v>
      </c>
      <c r="F145">
        <v>0.24199999999999999</v>
      </c>
      <c r="G145" s="2">
        <v>3.4009999999999998</v>
      </c>
      <c r="H145">
        <v>100</v>
      </c>
      <c r="J145">
        <f t="shared" si="4"/>
        <v>2.117</v>
      </c>
      <c r="K145">
        <f t="shared" si="5"/>
        <v>3.4009999999999998</v>
      </c>
      <c r="M145">
        <v>2.14</v>
      </c>
      <c r="N145" t="s">
        <v>24</v>
      </c>
      <c r="O145" t="s">
        <v>32</v>
      </c>
      <c r="P145">
        <v>2</v>
      </c>
    </row>
    <row r="146" spans="1:19" x14ac:dyDescent="0.2">
      <c r="A146" t="s">
        <v>17</v>
      </c>
      <c r="B146" s="2">
        <v>0</v>
      </c>
      <c r="C146">
        <v>0.09</v>
      </c>
      <c r="D146">
        <v>8.0999999999999996E-4</v>
      </c>
      <c r="E146">
        <v>0.48699999999999999</v>
      </c>
      <c r="F146">
        <v>6.0000000000000001E-3</v>
      </c>
      <c r="J146">
        <f t="shared" si="4"/>
        <v>0</v>
      </c>
      <c r="K146" t="str">
        <f t="shared" si="5"/>
        <v/>
      </c>
    </row>
    <row r="147" spans="1:19" x14ac:dyDescent="0.2">
      <c r="J147" t="str">
        <f t="shared" si="4"/>
        <v/>
      </c>
      <c r="K147" t="str">
        <f t="shared" si="5"/>
        <v/>
      </c>
    </row>
    <row r="148" spans="1:19" x14ac:dyDescent="0.2">
      <c r="B148" s="2">
        <v>2.105</v>
      </c>
      <c r="C148">
        <v>1262.94</v>
      </c>
      <c r="D148">
        <v>7.9100000000000004E-3</v>
      </c>
      <c r="E148">
        <v>4.7450000000000001</v>
      </c>
      <c r="F148">
        <v>0.185</v>
      </c>
      <c r="G148" s="2">
        <v>1.569</v>
      </c>
      <c r="H148">
        <v>100</v>
      </c>
      <c r="J148">
        <f t="shared" si="4"/>
        <v>2.105</v>
      </c>
      <c r="K148">
        <f t="shared" si="5"/>
        <v>1.569</v>
      </c>
      <c r="M148">
        <v>2.14</v>
      </c>
      <c r="N148" t="s">
        <v>24</v>
      </c>
      <c r="O148" t="s">
        <v>32</v>
      </c>
      <c r="P148">
        <v>2</v>
      </c>
    </row>
    <row r="149" spans="1:19" x14ac:dyDescent="0.2">
      <c r="A149" t="s">
        <v>17</v>
      </c>
      <c r="B149" s="2">
        <v>0</v>
      </c>
      <c r="C149">
        <v>0.08</v>
      </c>
      <c r="D149">
        <v>6.9999999999999999E-4</v>
      </c>
      <c r="E149">
        <v>0.42099999999999999</v>
      </c>
      <c r="F149">
        <v>0.01</v>
      </c>
      <c r="J149">
        <f t="shared" si="4"/>
        <v>0</v>
      </c>
      <c r="K149" t="str">
        <f t="shared" si="5"/>
        <v/>
      </c>
    </row>
    <row r="150" spans="1:19" x14ac:dyDescent="0.2">
      <c r="J150" t="str">
        <f t="shared" si="4"/>
        <v/>
      </c>
      <c r="K150" t="str">
        <f t="shared" si="5"/>
        <v/>
      </c>
    </row>
    <row r="151" spans="1:19" x14ac:dyDescent="0.2">
      <c r="B151" s="2">
        <v>2.0939999999999999</v>
      </c>
      <c r="C151">
        <v>1256.3499999999999</v>
      </c>
      <c r="D151">
        <v>2.9059999999999999E-2</v>
      </c>
      <c r="E151">
        <v>17.439</v>
      </c>
      <c r="F151">
        <v>0.16200000000000001</v>
      </c>
      <c r="G151" s="2">
        <v>5.0410000000000004</v>
      </c>
      <c r="H151">
        <v>100</v>
      </c>
      <c r="J151">
        <f t="shared" si="4"/>
        <v>2.0939999999999999</v>
      </c>
      <c r="K151">
        <f t="shared" si="5"/>
        <v>5.0410000000000004</v>
      </c>
      <c r="M151">
        <v>2.14</v>
      </c>
      <c r="N151" t="s">
        <v>24</v>
      </c>
      <c r="O151" t="s">
        <v>32</v>
      </c>
      <c r="P151">
        <v>2</v>
      </c>
    </row>
    <row r="152" spans="1:19" x14ac:dyDescent="0.2">
      <c r="A152" t="s">
        <v>17</v>
      </c>
      <c r="B152" s="2">
        <v>1E-3</v>
      </c>
      <c r="C152">
        <v>0.44</v>
      </c>
      <c r="D152">
        <v>1.1100000000000001E-3</v>
      </c>
      <c r="E152">
        <v>0.66900000000000004</v>
      </c>
      <c r="F152">
        <v>6.0000000000000001E-3</v>
      </c>
      <c r="J152">
        <f t="shared" si="4"/>
        <v>1E-3</v>
      </c>
      <c r="K152" t="str">
        <f t="shared" si="5"/>
        <v/>
      </c>
      <c r="O152" t="s">
        <v>32</v>
      </c>
      <c r="Q152">
        <f>SUM( K139, K142, K145, K148, K151)</f>
        <v>13.774000000000001</v>
      </c>
      <c r="R152">
        <f>Q152/P151</f>
        <v>6.8870000000000005</v>
      </c>
      <c r="S152">
        <f>R152/12.52</f>
        <v>0.55007987220447285</v>
      </c>
    </row>
    <row r="153" spans="1:19" x14ac:dyDescent="0.2">
      <c r="J153" t="str">
        <f t="shared" ref="J153:J216" si="6">IF(ISBLANK(B153), "", B153)</f>
        <v/>
      </c>
      <c r="K153" t="str">
        <f t="shared" ref="K153:K216" si="7">IF(ISBLANK(G153), "", G153)</f>
        <v/>
      </c>
    </row>
    <row r="154" spans="1:19" x14ac:dyDescent="0.2">
      <c r="B154" s="2">
        <v>1.917</v>
      </c>
      <c r="C154">
        <v>1150.26</v>
      </c>
      <c r="D154">
        <v>5.9000000000000003E-4</v>
      </c>
      <c r="E154">
        <v>0.35199999999999998</v>
      </c>
      <c r="F154">
        <v>0</v>
      </c>
      <c r="G154" s="2">
        <v>0</v>
      </c>
      <c r="H154">
        <v>100</v>
      </c>
      <c r="J154">
        <f t="shared" si="6"/>
        <v>1.917</v>
      </c>
      <c r="K154">
        <f t="shared" si="7"/>
        <v>0</v>
      </c>
      <c r="M154">
        <v>1.91</v>
      </c>
      <c r="N154" t="s">
        <v>25</v>
      </c>
      <c r="O154" t="s">
        <v>33</v>
      </c>
      <c r="P154">
        <v>3</v>
      </c>
    </row>
    <row r="155" spans="1:19" x14ac:dyDescent="0.2">
      <c r="A155" t="s">
        <v>17</v>
      </c>
      <c r="B155" s="2">
        <v>1.7729999999999999</v>
      </c>
      <c r="C155">
        <v>1064.1400000000001</v>
      </c>
      <c r="D155">
        <v>17.327349999999999</v>
      </c>
      <c r="E155">
        <v>10397.848</v>
      </c>
      <c r="F155">
        <v>1.5820000000000001</v>
      </c>
      <c r="J155">
        <f t="shared" si="6"/>
        <v>1.7729999999999999</v>
      </c>
      <c r="K155" t="str">
        <f t="shared" si="7"/>
        <v/>
      </c>
    </row>
    <row r="156" spans="1:19" x14ac:dyDescent="0.2">
      <c r="J156" t="str">
        <f t="shared" si="6"/>
        <v/>
      </c>
      <c r="K156" t="str">
        <f t="shared" si="7"/>
        <v/>
      </c>
    </row>
    <row r="157" spans="1:19" x14ac:dyDescent="0.2">
      <c r="B157" s="2">
        <v>1.9059999999999999</v>
      </c>
      <c r="C157">
        <v>1143.78</v>
      </c>
      <c r="D157">
        <v>4.5199999999999997E-3</v>
      </c>
      <c r="E157">
        <v>2.7120000000000002</v>
      </c>
      <c r="F157">
        <v>0.36</v>
      </c>
      <c r="G157" s="2">
        <v>1.7410000000000001</v>
      </c>
      <c r="H157">
        <v>100</v>
      </c>
      <c r="J157">
        <f t="shared" si="6"/>
        <v>1.9059999999999999</v>
      </c>
      <c r="K157">
        <f t="shared" si="7"/>
        <v>1.7410000000000001</v>
      </c>
      <c r="M157">
        <v>1.91</v>
      </c>
      <c r="N157" t="s">
        <v>25</v>
      </c>
      <c r="O157" t="s">
        <v>33</v>
      </c>
      <c r="P157">
        <v>3</v>
      </c>
    </row>
    <row r="158" spans="1:19" x14ac:dyDescent="0.2">
      <c r="A158" t="s">
        <v>17</v>
      </c>
      <c r="B158" s="2">
        <v>0</v>
      </c>
      <c r="C158">
        <v>0.02</v>
      </c>
      <c r="D158">
        <v>1.3999999999999999E-4</v>
      </c>
      <c r="E158">
        <v>8.3000000000000004E-2</v>
      </c>
      <c r="F158">
        <v>6.0000000000000001E-3</v>
      </c>
      <c r="J158">
        <f t="shared" si="6"/>
        <v>0</v>
      </c>
      <c r="K158" t="str">
        <f t="shared" si="7"/>
        <v/>
      </c>
    </row>
    <row r="159" spans="1:19" x14ac:dyDescent="0.2">
      <c r="J159" t="str">
        <f t="shared" si="6"/>
        <v/>
      </c>
      <c r="K159" t="str">
        <f t="shared" si="7"/>
        <v/>
      </c>
    </row>
    <row r="160" spans="1:19" x14ac:dyDescent="0.2">
      <c r="B160" s="2">
        <v>1.8939999999999999</v>
      </c>
      <c r="C160">
        <v>1136.44</v>
      </c>
      <c r="D160">
        <v>1.166E-2</v>
      </c>
      <c r="E160">
        <v>6.9950000000000001</v>
      </c>
      <c r="F160">
        <v>0.32800000000000001</v>
      </c>
      <c r="G160" s="2">
        <v>4.0990000000000002</v>
      </c>
      <c r="H160">
        <v>100</v>
      </c>
      <c r="J160">
        <f t="shared" si="6"/>
        <v>1.8939999999999999</v>
      </c>
      <c r="K160">
        <f t="shared" si="7"/>
        <v>4.0990000000000002</v>
      </c>
      <c r="M160">
        <v>1.91</v>
      </c>
      <c r="N160" t="s">
        <v>25</v>
      </c>
      <c r="O160" t="s">
        <v>33</v>
      </c>
      <c r="P160">
        <v>3</v>
      </c>
    </row>
    <row r="161" spans="1:19" x14ac:dyDescent="0.2">
      <c r="A161" t="s">
        <v>17</v>
      </c>
      <c r="B161" s="2">
        <v>0</v>
      </c>
      <c r="C161">
        <v>0.05</v>
      </c>
      <c r="D161">
        <v>3.6000000000000002E-4</v>
      </c>
      <c r="E161">
        <v>0.214</v>
      </c>
      <c r="F161">
        <v>4.0000000000000001E-3</v>
      </c>
      <c r="J161">
        <f t="shared" si="6"/>
        <v>0</v>
      </c>
      <c r="K161" t="str">
        <f t="shared" si="7"/>
        <v/>
      </c>
    </row>
    <row r="162" spans="1:19" x14ac:dyDescent="0.2">
      <c r="J162" t="str">
        <f t="shared" si="6"/>
        <v/>
      </c>
      <c r="K162" t="str">
        <f t="shared" si="7"/>
        <v/>
      </c>
    </row>
    <row r="163" spans="1:19" x14ac:dyDescent="0.2">
      <c r="B163" s="2">
        <v>1.879</v>
      </c>
      <c r="C163">
        <v>1127.57</v>
      </c>
      <c r="D163">
        <v>9.3799999999999994E-3</v>
      </c>
      <c r="E163">
        <v>5.6280000000000001</v>
      </c>
      <c r="F163">
        <v>0.91500000000000004</v>
      </c>
      <c r="G163" s="2">
        <v>9.1890000000000001</v>
      </c>
      <c r="H163">
        <v>100</v>
      </c>
      <c r="J163">
        <f t="shared" si="6"/>
        <v>1.879</v>
      </c>
      <c r="K163">
        <f t="shared" si="7"/>
        <v>9.1890000000000001</v>
      </c>
      <c r="M163">
        <v>1.91</v>
      </c>
      <c r="N163" t="s">
        <v>25</v>
      </c>
      <c r="O163" t="s">
        <v>33</v>
      </c>
      <c r="P163">
        <v>3</v>
      </c>
    </row>
    <row r="164" spans="1:19" x14ac:dyDescent="0.2">
      <c r="A164" t="s">
        <v>17</v>
      </c>
      <c r="B164" s="2">
        <v>0</v>
      </c>
      <c r="C164">
        <v>0.02</v>
      </c>
      <c r="D164">
        <v>1E-4</v>
      </c>
      <c r="E164">
        <v>6.2E-2</v>
      </c>
      <c r="F164">
        <v>5.0000000000000001E-3</v>
      </c>
      <c r="J164">
        <f t="shared" si="6"/>
        <v>0</v>
      </c>
      <c r="K164" t="str">
        <f t="shared" si="7"/>
        <v/>
      </c>
    </row>
    <row r="165" spans="1:19" x14ac:dyDescent="0.2">
      <c r="J165" t="str">
        <f t="shared" si="6"/>
        <v/>
      </c>
      <c r="K165" t="str">
        <f t="shared" si="7"/>
        <v/>
      </c>
    </row>
    <row r="166" spans="1:19" x14ac:dyDescent="0.2">
      <c r="B166" s="2">
        <v>1.863</v>
      </c>
      <c r="C166">
        <v>1117.99</v>
      </c>
      <c r="D166">
        <v>9.0200000000000002E-3</v>
      </c>
      <c r="E166">
        <v>5.41</v>
      </c>
      <c r="F166">
        <v>0.434</v>
      </c>
      <c r="G166" s="2">
        <v>4.1870000000000003</v>
      </c>
      <c r="H166">
        <v>100</v>
      </c>
      <c r="J166">
        <f t="shared" si="6"/>
        <v>1.863</v>
      </c>
      <c r="K166">
        <f t="shared" si="7"/>
        <v>4.1870000000000003</v>
      </c>
      <c r="M166">
        <v>1.91</v>
      </c>
      <c r="N166" t="s">
        <v>25</v>
      </c>
      <c r="O166" t="s">
        <v>33</v>
      </c>
      <c r="P166">
        <v>3</v>
      </c>
    </row>
    <row r="167" spans="1:19" x14ac:dyDescent="0.2">
      <c r="A167" t="s">
        <v>17</v>
      </c>
      <c r="B167" s="2">
        <v>0</v>
      </c>
      <c r="C167">
        <v>0.03</v>
      </c>
      <c r="D167">
        <v>2.0000000000000001E-4</v>
      </c>
      <c r="E167">
        <v>0.12</v>
      </c>
      <c r="F167">
        <v>4.0000000000000001E-3</v>
      </c>
      <c r="J167">
        <f t="shared" si="6"/>
        <v>0</v>
      </c>
      <c r="K167" t="str">
        <f t="shared" si="7"/>
        <v/>
      </c>
    </row>
    <row r="168" spans="1:19" x14ac:dyDescent="0.2">
      <c r="J168" t="str">
        <f t="shared" si="6"/>
        <v/>
      </c>
      <c r="K168" t="str">
        <f t="shared" si="7"/>
        <v/>
      </c>
    </row>
    <row r="169" spans="1:19" x14ac:dyDescent="0.2">
      <c r="B169" s="2">
        <v>1.851</v>
      </c>
      <c r="C169">
        <v>1110.55</v>
      </c>
      <c r="D169">
        <v>6.3400000000000001E-3</v>
      </c>
      <c r="E169">
        <v>3.8039999999999998</v>
      </c>
      <c r="F169">
        <v>0.30399999999999999</v>
      </c>
      <c r="G169" s="2">
        <v>2.0609999999999999</v>
      </c>
      <c r="H169">
        <v>100</v>
      </c>
      <c r="J169">
        <f t="shared" si="6"/>
        <v>1.851</v>
      </c>
      <c r="K169">
        <f t="shared" si="7"/>
        <v>2.0609999999999999</v>
      </c>
      <c r="M169">
        <v>1.91</v>
      </c>
      <c r="N169" t="s">
        <v>25</v>
      </c>
      <c r="O169" t="s">
        <v>33</v>
      </c>
      <c r="P169">
        <v>3</v>
      </c>
    </row>
    <row r="170" spans="1:19" x14ac:dyDescent="0.2">
      <c r="A170" t="s">
        <v>17</v>
      </c>
      <c r="B170" s="2">
        <v>0</v>
      </c>
      <c r="C170">
        <v>0.03</v>
      </c>
      <c r="D170">
        <v>1.9000000000000001E-4</v>
      </c>
      <c r="E170">
        <v>0.115</v>
      </c>
      <c r="F170">
        <v>5.0000000000000001E-3</v>
      </c>
      <c r="J170">
        <f t="shared" si="6"/>
        <v>0</v>
      </c>
      <c r="K170" t="str">
        <f t="shared" si="7"/>
        <v/>
      </c>
      <c r="O170" t="s">
        <v>33</v>
      </c>
      <c r="Q170">
        <f>SUM( K154, K157, K160, K163, K166, K169)</f>
        <v>21.277000000000001</v>
      </c>
      <c r="R170">
        <f>Q170/P169</f>
        <v>7.0923333333333334</v>
      </c>
      <c r="S170">
        <f>R170/13.77</f>
        <v>0.51505688695231178</v>
      </c>
    </row>
    <row r="171" spans="1:19" x14ac:dyDescent="0.2">
      <c r="J171" t="str">
        <f t="shared" si="6"/>
        <v/>
      </c>
      <c r="K171" t="str">
        <f t="shared" si="7"/>
        <v/>
      </c>
    </row>
    <row r="172" spans="1:19" x14ac:dyDescent="0.2">
      <c r="B172" s="2">
        <v>1.7889999999999999</v>
      </c>
      <c r="C172">
        <v>1073.31</v>
      </c>
      <c r="D172">
        <v>9.2599999999999991E-3</v>
      </c>
      <c r="E172">
        <v>5.5570000000000004</v>
      </c>
      <c r="F172">
        <v>1.4E-2</v>
      </c>
      <c r="G172" s="2">
        <v>0.13800000000000001</v>
      </c>
      <c r="H172">
        <v>100</v>
      </c>
      <c r="J172">
        <f t="shared" si="6"/>
        <v>1.7889999999999999</v>
      </c>
      <c r="K172">
        <f t="shared" si="7"/>
        <v>0.13800000000000001</v>
      </c>
    </row>
    <row r="173" spans="1:19" x14ac:dyDescent="0.2">
      <c r="A173" t="s">
        <v>17</v>
      </c>
      <c r="B173" s="2">
        <v>1E-3</v>
      </c>
      <c r="C173">
        <v>0.86</v>
      </c>
      <c r="D173">
        <v>4.1900000000000001E-3</v>
      </c>
      <c r="E173">
        <v>2.5169999999999999</v>
      </c>
      <c r="F173">
        <v>4.0000000000000001E-3</v>
      </c>
      <c r="J173">
        <f t="shared" si="6"/>
        <v>1E-3</v>
      </c>
      <c r="K173" t="str">
        <f t="shared" si="7"/>
        <v/>
      </c>
    </row>
    <row r="174" spans="1:19" x14ac:dyDescent="0.2">
      <c r="J174" t="str">
        <f t="shared" si="6"/>
        <v/>
      </c>
      <c r="K174" t="str">
        <f t="shared" si="7"/>
        <v/>
      </c>
    </row>
    <row r="175" spans="1:19" x14ac:dyDescent="0.2">
      <c r="B175" s="2">
        <v>1.768</v>
      </c>
      <c r="C175">
        <v>1060.67</v>
      </c>
      <c r="D175">
        <v>1.6800000000000001E-3</v>
      </c>
      <c r="E175">
        <v>1.006</v>
      </c>
      <c r="F175">
        <v>2.1000000000000001E-2</v>
      </c>
      <c r="G175" s="2">
        <v>3.6999999999999998E-2</v>
      </c>
      <c r="H175">
        <v>100</v>
      </c>
      <c r="J175">
        <f t="shared" si="6"/>
        <v>1.768</v>
      </c>
      <c r="K175">
        <f t="shared" si="7"/>
        <v>3.6999999999999998E-2</v>
      </c>
    </row>
    <row r="176" spans="1:19" x14ac:dyDescent="0.2">
      <c r="A176" t="s">
        <v>17</v>
      </c>
      <c r="B176" s="2">
        <v>0</v>
      </c>
      <c r="C176">
        <v>0.27</v>
      </c>
      <c r="D176">
        <v>3.0000000000000001E-3</v>
      </c>
      <c r="E176">
        <v>1.802</v>
      </c>
      <c r="F176">
        <v>3.4000000000000002E-2</v>
      </c>
      <c r="J176">
        <f t="shared" si="6"/>
        <v>0</v>
      </c>
      <c r="K176" t="str">
        <f t="shared" si="7"/>
        <v/>
      </c>
    </row>
    <row r="177" spans="1:16" x14ac:dyDescent="0.2">
      <c r="J177" t="str">
        <f t="shared" si="6"/>
        <v/>
      </c>
      <c r="K177" t="str">
        <f t="shared" si="7"/>
        <v/>
      </c>
    </row>
    <row r="178" spans="1:16" x14ac:dyDescent="0.2">
      <c r="B178" s="2">
        <v>1.6970000000000001</v>
      </c>
      <c r="C178">
        <v>1018.22</v>
      </c>
      <c r="D178">
        <v>1.6070000000000001E-2</v>
      </c>
      <c r="E178">
        <v>9.6430000000000007</v>
      </c>
      <c r="F178">
        <v>1.7999999999999999E-2</v>
      </c>
      <c r="G178" s="2">
        <v>0.30199999999999999</v>
      </c>
      <c r="H178">
        <v>100</v>
      </c>
      <c r="J178">
        <f t="shared" si="6"/>
        <v>1.6970000000000001</v>
      </c>
      <c r="K178">
        <f t="shared" si="7"/>
        <v>0.30199999999999999</v>
      </c>
    </row>
    <row r="179" spans="1:16" x14ac:dyDescent="0.2">
      <c r="A179" t="s">
        <v>17</v>
      </c>
      <c r="B179" s="2">
        <v>1E-3</v>
      </c>
      <c r="C179">
        <v>0.9</v>
      </c>
      <c r="D179">
        <v>4.5199999999999997E-3</v>
      </c>
      <c r="E179">
        <v>2.7090000000000001</v>
      </c>
      <c r="F179">
        <v>3.0000000000000001E-3</v>
      </c>
      <c r="J179">
        <f t="shared" si="6"/>
        <v>1E-3</v>
      </c>
      <c r="K179" t="str">
        <f t="shared" si="7"/>
        <v/>
      </c>
    </row>
    <row r="180" spans="1:16" x14ac:dyDescent="0.2">
      <c r="J180" t="str">
        <f t="shared" si="6"/>
        <v/>
      </c>
      <c r="K180" t="str">
        <f t="shared" si="7"/>
        <v/>
      </c>
    </row>
    <row r="181" spans="1:16" x14ac:dyDescent="0.2">
      <c r="B181" s="2">
        <v>1.599</v>
      </c>
      <c r="C181">
        <v>959.45</v>
      </c>
      <c r="D181">
        <v>1.602E-2</v>
      </c>
      <c r="E181">
        <v>9.6159999999999997</v>
      </c>
      <c r="F181">
        <v>2.9000000000000001E-2</v>
      </c>
      <c r="G181" s="2">
        <v>0.499</v>
      </c>
      <c r="H181">
        <v>100</v>
      </c>
      <c r="J181">
        <f t="shared" si="6"/>
        <v>1.599</v>
      </c>
      <c r="K181">
        <f t="shared" si="7"/>
        <v>0.499</v>
      </c>
    </row>
    <row r="182" spans="1:16" x14ac:dyDescent="0.2">
      <c r="A182" t="s">
        <v>17</v>
      </c>
      <c r="B182" s="2">
        <v>1E-3</v>
      </c>
      <c r="C182">
        <v>0.55000000000000004</v>
      </c>
      <c r="D182">
        <v>3.47E-3</v>
      </c>
      <c r="E182">
        <v>2.08</v>
      </c>
      <c r="F182">
        <v>3.0000000000000001E-3</v>
      </c>
      <c r="J182">
        <f t="shared" si="6"/>
        <v>1E-3</v>
      </c>
      <c r="K182" t="str">
        <f t="shared" si="7"/>
        <v/>
      </c>
    </row>
    <row r="183" spans="1:16" x14ac:dyDescent="0.2">
      <c r="J183" t="str">
        <f t="shared" si="6"/>
        <v/>
      </c>
      <c r="K183" t="str">
        <f t="shared" si="7"/>
        <v/>
      </c>
    </row>
    <row r="184" spans="1:16" x14ac:dyDescent="0.2">
      <c r="B184" s="2">
        <v>1.5449999999999999</v>
      </c>
      <c r="C184">
        <v>926.85</v>
      </c>
      <c r="D184">
        <v>1.5890000000000001E-2</v>
      </c>
      <c r="E184">
        <v>9.5340000000000007</v>
      </c>
      <c r="F184">
        <v>8.6999999999999994E-2</v>
      </c>
      <c r="G184" s="2">
        <v>1.476</v>
      </c>
      <c r="H184">
        <v>100</v>
      </c>
      <c r="J184">
        <f t="shared" si="6"/>
        <v>1.5449999999999999</v>
      </c>
      <c r="K184">
        <f t="shared" si="7"/>
        <v>1.476</v>
      </c>
      <c r="M184">
        <v>1.54</v>
      </c>
      <c r="N184" t="s">
        <v>24</v>
      </c>
      <c r="O184" t="s">
        <v>32</v>
      </c>
      <c r="P184">
        <v>2</v>
      </c>
    </row>
    <row r="185" spans="1:16" x14ac:dyDescent="0.2">
      <c r="A185" t="s">
        <v>17</v>
      </c>
      <c r="B185" s="2">
        <v>0</v>
      </c>
      <c r="C185">
        <v>0.26</v>
      </c>
      <c r="D185">
        <v>1.7700000000000001E-3</v>
      </c>
      <c r="E185">
        <v>1.0640000000000001</v>
      </c>
      <c r="F185">
        <v>5.0000000000000001E-3</v>
      </c>
      <c r="J185">
        <f t="shared" si="6"/>
        <v>0</v>
      </c>
      <c r="K185" t="str">
        <f t="shared" si="7"/>
        <v/>
      </c>
    </row>
    <row r="186" spans="1:16" x14ac:dyDescent="0.2">
      <c r="J186" t="str">
        <f t="shared" si="6"/>
        <v/>
      </c>
      <c r="K186" t="str">
        <f t="shared" si="7"/>
        <v/>
      </c>
    </row>
    <row r="187" spans="1:16" x14ac:dyDescent="0.2">
      <c r="B187" s="2">
        <v>1.532</v>
      </c>
      <c r="C187">
        <v>919.12</v>
      </c>
      <c r="D187">
        <v>6.3099999999999996E-3</v>
      </c>
      <c r="E187">
        <v>3.7869999999999999</v>
      </c>
      <c r="F187">
        <v>0.19500000000000001</v>
      </c>
      <c r="G187" s="2">
        <v>1.3149999999999999</v>
      </c>
      <c r="H187">
        <v>100</v>
      </c>
      <c r="J187">
        <f t="shared" si="6"/>
        <v>1.532</v>
      </c>
      <c r="K187">
        <f t="shared" si="7"/>
        <v>1.3149999999999999</v>
      </c>
      <c r="M187">
        <v>1.54</v>
      </c>
      <c r="N187" t="s">
        <v>24</v>
      </c>
      <c r="O187" t="s">
        <v>32</v>
      </c>
      <c r="P187">
        <v>2</v>
      </c>
    </row>
    <row r="188" spans="1:16" x14ac:dyDescent="0.2">
      <c r="A188" t="s">
        <v>17</v>
      </c>
      <c r="B188" s="2">
        <v>0</v>
      </c>
      <c r="C188">
        <v>0.06</v>
      </c>
      <c r="D188">
        <v>3.8999999999999999E-4</v>
      </c>
      <c r="E188">
        <v>0.23300000000000001</v>
      </c>
      <c r="F188">
        <v>6.0000000000000001E-3</v>
      </c>
      <c r="J188">
        <f t="shared" si="6"/>
        <v>0</v>
      </c>
      <c r="K188" t="str">
        <f t="shared" si="7"/>
        <v/>
      </c>
    </row>
    <row r="189" spans="1:16" x14ac:dyDescent="0.2">
      <c r="J189" t="str">
        <f t="shared" si="6"/>
        <v/>
      </c>
      <c r="K189" t="str">
        <f t="shared" si="7"/>
        <v/>
      </c>
    </row>
    <row r="190" spans="1:16" x14ac:dyDescent="0.2">
      <c r="B190" s="2">
        <v>1.52</v>
      </c>
      <c r="C190">
        <v>911.9</v>
      </c>
      <c r="D190">
        <v>7.6699999999999997E-3</v>
      </c>
      <c r="E190">
        <v>4.601</v>
      </c>
      <c r="F190">
        <v>0.26</v>
      </c>
      <c r="G190" s="2">
        <v>2.1309999999999998</v>
      </c>
      <c r="H190">
        <v>100</v>
      </c>
      <c r="J190">
        <f t="shared" si="6"/>
        <v>1.52</v>
      </c>
      <c r="K190">
        <f t="shared" si="7"/>
        <v>2.1309999999999998</v>
      </c>
      <c r="M190">
        <v>1.54</v>
      </c>
      <c r="N190" t="s">
        <v>24</v>
      </c>
      <c r="O190" t="s">
        <v>32</v>
      </c>
      <c r="P190">
        <v>2</v>
      </c>
    </row>
    <row r="191" spans="1:16" x14ac:dyDescent="0.2">
      <c r="A191" t="s">
        <v>17</v>
      </c>
      <c r="B191" s="2">
        <v>0</v>
      </c>
      <c r="C191">
        <v>0.05</v>
      </c>
      <c r="D191">
        <v>3.6000000000000002E-4</v>
      </c>
      <c r="E191">
        <v>0.214</v>
      </c>
      <c r="F191">
        <v>7.0000000000000001E-3</v>
      </c>
      <c r="J191">
        <f t="shared" si="6"/>
        <v>0</v>
      </c>
      <c r="K191" t="str">
        <f t="shared" si="7"/>
        <v/>
      </c>
    </row>
    <row r="192" spans="1:16" x14ac:dyDescent="0.2">
      <c r="J192" t="str">
        <f t="shared" si="6"/>
        <v/>
      </c>
      <c r="K192" t="str">
        <f t="shared" si="7"/>
        <v/>
      </c>
    </row>
    <row r="193" spans="1:19" x14ac:dyDescent="0.2">
      <c r="B193" s="2">
        <v>1.508</v>
      </c>
      <c r="C193">
        <v>904.76</v>
      </c>
      <c r="D193">
        <v>8.2100000000000003E-3</v>
      </c>
      <c r="E193">
        <v>4.9260000000000002</v>
      </c>
      <c r="F193">
        <v>0.187</v>
      </c>
      <c r="G193" s="2">
        <v>1.647</v>
      </c>
      <c r="H193">
        <v>100</v>
      </c>
      <c r="J193">
        <f t="shared" si="6"/>
        <v>1.508</v>
      </c>
      <c r="K193">
        <f t="shared" si="7"/>
        <v>1.647</v>
      </c>
      <c r="M193">
        <v>1.54</v>
      </c>
      <c r="N193" t="s">
        <v>24</v>
      </c>
      <c r="O193" t="s">
        <v>32</v>
      </c>
      <c r="P193">
        <v>2</v>
      </c>
    </row>
    <row r="194" spans="1:19" x14ac:dyDescent="0.2">
      <c r="A194" t="s">
        <v>17</v>
      </c>
      <c r="B194" s="2">
        <v>0</v>
      </c>
      <c r="C194">
        <v>0.08</v>
      </c>
      <c r="D194">
        <v>5.9999999999999995E-4</v>
      </c>
      <c r="E194">
        <v>0.35899999999999999</v>
      </c>
      <c r="F194">
        <v>7.0000000000000001E-3</v>
      </c>
      <c r="J194">
        <f t="shared" si="6"/>
        <v>0</v>
      </c>
      <c r="K194" t="str">
        <f t="shared" si="7"/>
        <v/>
      </c>
    </row>
    <row r="195" spans="1:19" x14ac:dyDescent="0.2">
      <c r="J195" t="str">
        <f t="shared" si="6"/>
        <v/>
      </c>
      <c r="K195" t="str">
        <f t="shared" si="7"/>
        <v/>
      </c>
    </row>
    <row r="196" spans="1:19" x14ac:dyDescent="0.2">
      <c r="B196" s="2">
        <v>1.4950000000000001</v>
      </c>
      <c r="C196">
        <v>897.17</v>
      </c>
      <c r="D196">
        <v>1.5469999999999999E-2</v>
      </c>
      <c r="E196">
        <v>9.282</v>
      </c>
      <c r="F196">
        <v>0.105</v>
      </c>
      <c r="G196" s="2">
        <v>1.7430000000000001</v>
      </c>
      <c r="H196">
        <v>100</v>
      </c>
      <c r="J196">
        <f t="shared" si="6"/>
        <v>1.4950000000000001</v>
      </c>
      <c r="K196">
        <f t="shared" si="7"/>
        <v>1.7430000000000001</v>
      </c>
      <c r="M196">
        <v>1.54</v>
      </c>
      <c r="N196" t="s">
        <v>24</v>
      </c>
      <c r="O196" t="s">
        <v>32</v>
      </c>
      <c r="P196">
        <v>2</v>
      </c>
    </row>
    <row r="197" spans="1:19" x14ac:dyDescent="0.2">
      <c r="A197" t="s">
        <v>17</v>
      </c>
      <c r="B197" s="2">
        <v>0</v>
      </c>
      <c r="C197">
        <v>0.24</v>
      </c>
      <c r="D197">
        <v>2.2000000000000001E-3</v>
      </c>
      <c r="E197">
        <v>1.321</v>
      </c>
      <c r="F197">
        <v>0.01</v>
      </c>
      <c r="J197">
        <f t="shared" si="6"/>
        <v>0</v>
      </c>
      <c r="K197" t="str">
        <f t="shared" si="7"/>
        <v/>
      </c>
    </row>
    <row r="198" spans="1:19" x14ac:dyDescent="0.2">
      <c r="J198" t="str">
        <f t="shared" si="6"/>
        <v/>
      </c>
      <c r="K198" t="str">
        <f t="shared" si="7"/>
        <v/>
      </c>
    </row>
    <row r="199" spans="1:19" x14ac:dyDescent="0.2">
      <c r="B199" s="2">
        <v>1.4750000000000001</v>
      </c>
      <c r="C199">
        <v>884.84</v>
      </c>
      <c r="D199">
        <v>9.0029999999999999E-2</v>
      </c>
      <c r="E199">
        <v>54.024000000000001</v>
      </c>
      <c r="F199">
        <v>3.6999999999999998E-2</v>
      </c>
      <c r="G199" s="2">
        <v>3.556</v>
      </c>
      <c r="H199">
        <v>100</v>
      </c>
      <c r="J199">
        <f t="shared" si="6"/>
        <v>1.4750000000000001</v>
      </c>
      <c r="K199">
        <f t="shared" si="7"/>
        <v>3.556</v>
      </c>
      <c r="M199">
        <v>1.54</v>
      </c>
      <c r="N199" t="s">
        <v>24</v>
      </c>
      <c r="O199" t="s">
        <v>32</v>
      </c>
      <c r="P199">
        <v>2</v>
      </c>
    </row>
    <row r="200" spans="1:19" x14ac:dyDescent="0.2">
      <c r="A200" t="s">
        <v>17</v>
      </c>
      <c r="B200" s="2">
        <v>1.7000000000000001E-2</v>
      </c>
      <c r="C200">
        <v>10.25</v>
      </c>
      <c r="D200">
        <v>2.0039999999999999E-2</v>
      </c>
      <c r="E200">
        <v>12.028</v>
      </c>
      <c r="F200">
        <v>0.01</v>
      </c>
      <c r="J200">
        <f t="shared" si="6"/>
        <v>1.7000000000000001E-2</v>
      </c>
      <c r="K200" t="str">
        <f t="shared" si="7"/>
        <v/>
      </c>
      <c r="O200" t="s">
        <v>32</v>
      </c>
      <c r="Q200">
        <f>SUM(K184, K187, K190, K193, K196, K199)</f>
        <v>11.867999999999999</v>
      </c>
      <c r="R200">
        <f>Q200/P199</f>
        <v>5.9339999999999993</v>
      </c>
      <c r="S200">
        <f>R200/12.52</f>
        <v>0.47396166134185297</v>
      </c>
    </row>
    <row r="201" spans="1:19" x14ac:dyDescent="0.2">
      <c r="J201" t="str">
        <f t="shared" si="6"/>
        <v/>
      </c>
      <c r="K201" t="str">
        <f t="shared" si="7"/>
        <v/>
      </c>
    </row>
    <row r="202" spans="1:19" x14ac:dyDescent="0.2">
      <c r="B202" s="2">
        <v>1.464</v>
      </c>
      <c r="C202">
        <v>878.81</v>
      </c>
      <c r="D202">
        <v>1.158E-2</v>
      </c>
      <c r="E202">
        <v>6.9470000000000001</v>
      </c>
      <c r="F202">
        <v>0.186</v>
      </c>
      <c r="G202" s="2">
        <v>2.3069999999999999</v>
      </c>
      <c r="H202">
        <v>100</v>
      </c>
      <c r="J202">
        <f t="shared" si="6"/>
        <v>1.464</v>
      </c>
      <c r="K202">
        <f t="shared" si="7"/>
        <v>2.3069999999999999</v>
      </c>
      <c r="M202">
        <v>1.47</v>
      </c>
      <c r="N202" t="s">
        <v>22</v>
      </c>
      <c r="O202" t="s">
        <v>33</v>
      </c>
      <c r="P202">
        <v>3</v>
      </c>
    </row>
    <row r="203" spans="1:19" x14ac:dyDescent="0.2">
      <c r="A203" t="s">
        <v>17</v>
      </c>
      <c r="B203" s="2">
        <v>0</v>
      </c>
      <c r="C203">
        <v>0.09</v>
      </c>
      <c r="D203">
        <v>8.4999999999999995E-4</v>
      </c>
      <c r="E203">
        <v>0.51200000000000001</v>
      </c>
      <c r="F203">
        <v>8.9999999999999993E-3</v>
      </c>
      <c r="J203">
        <f t="shared" si="6"/>
        <v>0</v>
      </c>
      <c r="K203" t="str">
        <f t="shared" si="7"/>
        <v/>
      </c>
    </row>
    <row r="204" spans="1:19" x14ac:dyDescent="0.2">
      <c r="J204" t="str">
        <f t="shared" si="6"/>
        <v/>
      </c>
      <c r="K204" t="str">
        <f t="shared" si="7"/>
        <v/>
      </c>
    </row>
    <row r="205" spans="1:19" x14ac:dyDescent="0.2">
      <c r="B205" s="2">
        <v>1.45</v>
      </c>
      <c r="C205">
        <v>870.23</v>
      </c>
      <c r="D205">
        <v>9.3699999999999999E-3</v>
      </c>
      <c r="E205">
        <v>5.625</v>
      </c>
      <c r="F205">
        <v>0.6</v>
      </c>
      <c r="G205" s="2">
        <v>6.0259999999999998</v>
      </c>
      <c r="H205">
        <v>100</v>
      </c>
      <c r="J205">
        <f t="shared" si="6"/>
        <v>1.45</v>
      </c>
      <c r="K205">
        <f t="shared" si="7"/>
        <v>6.0259999999999998</v>
      </c>
      <c r="M205">
        <v>1.47</v>
      </c>
      <c r="N205" t="s">
        <v>22</v>
      </c>
      <c r="O205" t="s">
        <v>33</v>
      </c>
      <c r="P205">
        <v>3</v>
      </c>
    </row>
    <row r="206" spans="1:19" x14ac:dyDescent="0.2">
      <c r="A206" t="s">
        <v>17</v>
      </c>
      <c r="B206" s="2">
        <v>0</v>
      </c>
      <c r="C206">
        <v>0.03</v>
      </c>
      <c r="D206">
        <v>2.0000000000000001E-4</v>
      </c>
      <c r="E206">
        <v>0.11700000000000001</v>
      </c>
      <c r="F206">
        <v>8.0000000000000002E-3</v>
      </c>
      <c r="J206">
        <f t="shared" si="6"/>
        <v>0</v>
      </c>
      <c r="K206" t="str">
        <f t="shared" si="7"/>
        <v/>
      </c>
    </row>
    <row r="207" spans="1:19" x14ac:dyDescent="0.2">
      <c r="J207" t="str">
        <f t="shared" si="6"/>
        <v/>
      </c>
      <c r="K207" t="str">
        <f t="shared" si="7"/>
        <v/>
      </c>
    </row>
    <row r="208" spans="1:19" x14ac:dyDescent="0.2">
      <c r="B208" s="2">
        <v>1.4370000000000001</v>
      </c>
      <c r="C208">
        <v>862.24</v>
      </c>
      <c r="D208">
        <v>9.3200000000000002E-3</v>
      </c>
      <c r="E208">
        <v>5.5960000000000001</v>
      </c>
      <c r="F208">
        <v>0.67700000000000005</v>
      </c>
      <c r="G208" s="2">
        <v>6.7640000000000002</v>
      </c>
      <c r="H208">
        <v>100</v>
      </c>
      <c r="J208">
        <f t="shared" si="6"/>
        <v>1.4370000000000001</v>
      </c>
      <c r="K208">
        <f t="shared" si="7"/>
        <v>6.7640000000000002</v>
      </c>
      <c r="M208">
        <v>1.47</v>
      </c>
      <c r="N208" t="s">
        <v>22</v>
      </c>
      <c r="O208" t="s">
        <v>33</v>
      </c>
      <c r="P208">
        <v>3</v>
      </c>
    </row>
    <row r="209" spans="1:19" x14ac:dyDescent="0.2">
      <c r="A209" t="s">
        <v>17</v>
      </c>
      <c r="B209" s="2">
        <v>0</v>
      </c>
      <c r="C209">
        <v>0.02</v>
      </c>
      <c r="D209">
        <v>1.7000000000000001E-4</v>
      </c>
      <c r="E209">
        <v>0.105</v>
      </c>
      <c r="F209">
        <v>6.0000000000000001E-3</v>
      </c>
      <c r="J209">
        <f t="shared" si="6"/>
        <v>0</v>
      </c>
      <c r="K209" t="str">
        <f t="shared" si="7"/>
        <v/>
      </c>
    </row>
    <row r="210" spans="1:19" x14ac:dyDescent="0.2">
      <c r="J210" t="str">
        <f t="shared" si="6"/>
        <v/>
      </c>
      <c r="K210" t="str">
        <f t="shared" si="7"/>
        <v/>
      </c>
    </row>
    <row r="211" spans="1:19" x14ac:dyDescent="0.2">
      <c r="B211" s="2">
        <v>1.423</v>
      </c>
      <c r="C211">
        <v>854.05</v>
      </c>
      <c r="D211">
        <v>1.627E-2</v>
      </c>
      <c r="E211">
        <v>9.7639999999999993</v>
      </c>
      <c r="F211">
        <v>0.27800000000000002</v>
      </c>
      <c r="G211" s="2">
        <v>4.835</v>
      </c>
      <c r="H211">
        <v>100</v>
      </c>
      <c r="J211">
        <f t="shared" si="6"/>
        <v>1.423</v>
      </c>
      <c r="K211">
        <f t="shared" si="7"/>
        <v>4.835</v>
      </c>
      <c r="M211">
        <v>1.47</v>
      </c>
      <c r="N211" t="s">
        <v>22</v>
      </c>
      <c r="O211" t="s">
        <v>33</v>
      </c>
      <c r="P211">
        <v>3</v>
      </c>
    </row>
    <row r="212" spans="1:19" x14ac:dyDescent="0.2">
      <c r="A212" t="s">
        <v>17</v>
      </c>
      <c r="B212" s="2">
        <v>0</v>
      </c>
      <c r="C212">
        <v>0.09</v>
      </c>
      <c r="D212">
        <v>5.9999999999999995E-4</v>
      </c>
      <c r="E212">
        <v>0.35799999999999998</v>
      </c>
      <c r="F212">
        <v>5.0000000000000001E-3</v>
      </c>
      <c r="J212">
        <f t="shared" si="6"/>
        <v>0</v>
      </c>
      <c r="K212" t="str">
        <f t="shared" si="7"/>
        <v/>
      </c>
      <c r="O212" t="s">
        <v>33</v>
      </c>
      <c r="Q212">
        <f>SUM(K202, K205, K208, K211)</f>
        <v>19.932000000000002</v>
      </c>
      <c r="R212">
        <f>Q212/P211</f>
        <v>6.644000000000001</v>
      </c>
      <c r="S212">
        <f>R212/10</f>
        <v>0.6644000000000001</v>
      </c>
    </row>
    <row r="213" spans="1:19" x14ac:dyDescent="0.2">
      <c r="J213" t="str">
        <f t="shared" si="6"/>
        <v/>
      </c>
      <c r="K213" t="str">
        <f t="shared" si="7"/>
        <v/>
      </c>
    </row>
    <row r="214" spans="1:19" x14ac:dyDescent="0.2">
      <c r="B214" s="2">
        <v>1.288</v>
      </c>
      <c r="C214">
        <v>772.78</v>
      </c>
      <c r="D214">
        <v>5.7680000000000002E-2</v>
      </c>
      <c r="E214">
        <v>34.61</v>
      </c>
      <c r="F214">
        <v>4.2999999999999997E-2</v>
      </c>
      <c r="G214" s="2">
        <v>2.6549999999999998</v>
      </c>
      <c r="H214">
        <v>100</v>
      </c>
      <c r="J214">
        <f t="shared" si="6"/>
        <v>1.288</v>
      </c>
      <c r="K214">
        <f t="shared" si="7"/>
        <v>2.6549999999999998</v>
      </c>
    </row>
    <row r="215" spans="1:19" x14ac:dyDescent="0.2">
      <c r="A215" t="s">
        <v>17</v>
      </c>
      <c r="B215" s="2">
        <v>1E-3</v>
      </c>
      <c r="C215">
        <v>0.72</v>
      </c>
      <c r="D215">
        <v>4.1399999999999996E-3</v>
      </c>
      <c r="E215">
        <v>2.4830000000000001</v>
      </c>
      <c r="F215">
        <v>2E-3</v>
      </c>
      <c r="J215">
        <f t="shared" si="6"/>
        <v>1E-3</v>
      </c>
      <c r="K215" t="str">
        <f t="shared" si="7"/>
        <v/>
      </c>
    </row>
    <row r="216" spans="1:19" x14ac:dyDescent="0.2">
      <c r="J216" t="str">
        <f t="shared" si="6"/>
        <v/>
      </c>
      <c r="K216" t="str">
        <f t="shared" si="7"/>
        <v/>
      </c>
    </row>
    <row r="217" spans="1:19" x14ac:dyDescent="0.2">
      <c r="B217" s="2">
        <v>1.2030000000000001</v>
      </c>
      <c r="C217">
        <v>721.94</v>
      </c>
      <c r="D217">
        <v>2.1800000000000001E-3</v>
      </c>
      <c r="E217">
        <v>1.3069999999999999</v>
      </c>
      <c r="F217">
        <v>1.0999999999999999E-2</v>
      </c>
      <c r="G217" s="2">
        <v>2.7E-2</v>
      </c>
      <c r="H217">
        <v>100</v>
      </c>
      <c r="J217">
        <f t="shared" ref="J217:J280" si="8">IF(ISBLANK(B217), "", B217)</f>
        <v>1.2030000000000001</v>
      </c>
      <c r="K217">
        <f t="shared" ref="K217:K280" si="9">IF(ISBLANK(G217), "", G217)</f>
        <v>2.7E-2</v>
      </c>
    </row>
    <row r="218" spans="1:19" x14ac:dyDescent="0.2">
      <c r="A218" t="s">
        <v>17</v>
      </c>
      <c r="B218" s="2">
        <v>1E-3</v>
      </c>
      <c r="C218">
        <v>0.72</v>
      </c>
      <c r="D218">
        <v>2.7599999999999999E-3</v>
      </c>
      <c r="E218">
        <v>1.655</v>
      </c>
      <c r="F218">
        <v>0.01</v>
      </c>
      <c r="J218">
        <f t="shared" si="8"/>
        <v>1E-3</v>
      </c>
      <c r="K218" t="str">
        <f t="shared" si="9"/>
        <v/>
      </c>
    </row>
    <row r="219" spans="1:19" x14ac:dyDescent="0.2">
      <c r="J219" t="str">
        <f t="shared" si="8"/>
        <v/>
      </c>
      <c r="K219" t="str">
        <f t="shared" si="9"/>
        <v/>
      </c>
    </row>
    <row r="220" spans="1:19" x14ac:dyDescent="0.2">
      <c r="B220" s="2">
        <v>1.1870000000000001</v>
      </c>
      <c r="C220">
        <v>712.46</v>
      </c>
      <c r="D220">
        <v>9.11E-3</v>
      </c>
      <c r="E220">
        <v>5.4660000000000002</v>
      </c>
      <c r="F220">
        <v>1.4999999999999999E-2</v>
      </c>
      <c r="G220" s="2">
        <v>0.14299999999999999</v>
      </c>
      <c r="H220">
        <v>100</v>
      </c>
      <c r="J220">
        <f t="shared" si="8"/>
        <v>1.1870000000000001</v>
      </c>
      <c r="K220">
        <f t="shared" si="9"/>
        <v>0.14299999999999999</v>
      </c>
      <c r="M220">
        <v>1.17</v>
      </c>
      <c r="N220" t="s">
        <v>23</v>
      </c>
      <c r="O220" t="s">
        <v>33</v>
      </c>
      <c r="P220">
        <v>3</v>
      </c>
    </row>
    <row r="221" spans="1:19" x14ac:dyDescent="0.2">
      <c r="A221" t="s">
        <v>17</v>
      </c>
      <c r="B221" s="2">
        <v>1E-3</v>
      </c>
      <c r="C221">
        <v>0.83</v>
      </c>
      <c r="D221">
        <v>4.64E-3</v>
      </c>
      <c r="E221">
        <v>2.7869999999999999</v>
      </c>
      <c r="F221">
        <v>4.0000000000000001E-3</v>
      </c>
      <c r="J221">
        <f t="shared" si="8"/>
        <v>1E-3</v>
      </c>
      <c r="K221" t="str">
        <f t="shared" si="9"/>
        <v/>
      </c>
    </row>
    <row r="222" spans="1:19" x14ac:dyDescent="0.2">
      <c r="J222" t="str">
        <f t="shared" si="8"/>
        <v/>
      </c>
      <c r="K222" t="str">
        <f t="shared" si="9"/>
        <v/>
      </c>
    </row>
    <row r="223" spans="1:19" x14ac:dyDescent="0.2">
      <c r="B223" s="2">
        <v>1.171</v>
      </c>
      <c r="C223">
        <v>702.94</v>
      </c>
      <c r="D223">
        <v>5.64E-3</v>
      </c>
      <c r="E223">
        <v>3.387</v>
      </c>
      <c r="F223">
        <v>0.128</v>
      </c>
      <c r="G223" s="2">
        <v>0.77300000000000002</v>
      </c>
      <c r="H223">
        <v>100</v>
      </c>
      <c r="J223">
        <f t="shared" si="8"/>
        <v>1.171</v>
      </c>
      <c r="K223">
        <f t="shared" si="9"/>
        <v>0.77300000000000002</v>
      </c>
      <c r="M223">
        <v>1.17</v>
      </c>
      <c r="N223" t="s">
        <v>23</v>
      </c>
      <c r="O223" t="s">
        <v>33</v>
      </c>
      <c r="P223">
        <v>3</v>
      </c>
    </row>
    <row r="224" spans="1:19" x14ac:dyDescent="0.2">
      <c r="A224" t="s">
        <v>17</v>
      </c>
      <c r="B224" s="2">
        <v>0</v>
      </c>
      <c r="C224">
        <v>0.08</v>
      </c>
      <c r="D224">
        <v>4.4000000000000002E-4</v>
      </c>
      <c r="E224">
        <v>0.26300000000000001</v>
      </c>
      <c r="F224">
        <v>6.0000000000000001E-3</v>
      </c>
      <c r="J224">
        <f t="shared" si="8"/>
        <v>0</v>
      </c>
      <c r="K224" t="str">
        <f t="shared" si="9"/>
        <v/>
      </c>
    </row>
    <row r="225" spans="1:19" x14ac:dyDescent="0.2">
      <c r="J225" t="str">
        <f t="shared" si="8"/>
        <v/>
      </c>
      <c r="K225" t="str">
        <f t="shared" si="9"/>
        <v/>
      </c>
    </row>
    <row r="226" spans="1:19" x14ac:dyDescent="0.2">
      <c r="B226" s="2">
        <v>1.159</v>
      </c>
      <c r="C226">
        <v>695.48</v>
      </c>
      <c r="D226">
        <v>6.8799999999999998E-3</v>
      </c>
      <c r="E226">
        <v>4.1289999999999996</v>
      </c>
      <c r="F226">
        <v>0.28899999999999998</v>
      </c>
      <c r="G226" s="2">
        <v>2.1280000000000001</v>
      </c>
      <c r="H226">
        <v>100</v>
      </c>
      <c r="J226">
        <f t="shared" si="8"/>
        <v>1.159</v>
      </c>
      <c r="K226">
        <f t="shared" si="9"/>
        <v>2.1280000000000001</v>
      </c>
      <c r="M226">
        <v>1.17</v>
      </c>
      <c r="N226" t="s">
        <v>23</v>
      </c>
      <c r="O226" t="s">
        <v>33</v>
      </c>
      <c r="P226">
        <v>3</v>
      </c>
    </row>
    <row r="227" spans="1:19" x14ac:dyDescent="0.2">
      <c r="A227" t="s">
        <v>17</v>
      </c>
      <c r="B227" s="2">
        <v>0</v>
      </c>
      <c r="C227">
        <v>0.04</v>
      </c>
      <c r="D227">
        <v>2.9E-4</v>
      </c>
      <c r="E227">
        <v>0.17499999999999999</v>
      </c>
      <c r="F227">
        <v>6.0000000000000001E-3</v>
      </c>
      <c r="J227">
        <f t="shared" si="8"/>
        <v>0</v>
      </c>
      <c r="K227" t="str">
        <f t="shared" si="9"/>
        <v/>
      </c>
    </row>
    <row r="228" spans="1:19" x14ac:dyDescent="0.2">
      <c r="J228" t="str">
        <f t="shared" si="8"/>
        <v/>
      </c>
      <c r="K228" t="str">
        <f t="shared" si="9"/>
        <v/>
      </c>
    </row>
    <row r="229" spans="1:19" x14ac:dyDescent="0.2">
      <c r="B229" s="2">
        <v>1.1479999999999999</v>
      </c>
      <c r="C229">
        <v>688.65</v>
      </c>
      <c r="D229">
        <v>1.1560000000000001E-2</v>
      </c>
      <c r="E229">
        <v>6.9359999999999999</v>
      </c>
      <c r="F229">
        <v>0.37</v>
      </c>
      <c r="G229" s="2">
        <v>4.5839999999999996</v>
      </c>
      <c r="H229">
        <v>100</v>
      </c>
      <c r="J229">
        <f t="shared" si="8"/>
        <v>1.1479999999999999</v>
      </c>
      <c r="K229">
        <f t="shared" si="9"/>
        <v>4.5839999999999996</v>
      </c>
      <c r="M229">
        <v>1.17</v>
      </c>
      <c r="N229" t="s">
        <v>23</v>
      </c>
      <c r="O229" t="s">
        <v>33</v>
      </c>
      <c r="P229">
        <v>3</v>
      </c>
    </row>
    <row r="230" spans="1:19" x14ac:dyDescent="0.2">
      <c r="A230" t="s">
        <v>17</v>
      </c>
      <c r="B230" s="2">
        <v>0</v>
      </c>
      <c r="C230">
        <v>0.06</v>
      </c>
      <c r="D230">
        <v>4.6000000000000001E-4</v>
      </c>
      <c r="E230">
        <v>0.27800000000000002</v>
      </c>
      <c r="F230">
        <v>6.0000000000000001E-3</v>
      </c>
      <c r="J230">
        <f t="shared" si="8"/>
        <v>0</v>
      </c>
      <c r="K230" t="str">
        <f t="shared" si="9"/>
        <v/>
      </c>
    </row>
    <row r="231" spans="1:19" x14ac:dyDescent="0.2">
      <c r="J231" t="str">
        <f t="shared" si="8"/>
        <v/>
      </c>
      <c r="K231" t="str">
        <f t="shared" si="9"/>
        <v/>
      </c>
    </row>
    <row r="232" spans="1:19" x14ac:dyDescent="0.2">
      <c r="B232" s="2">
        <v>1.1359999999999999</v>
      </c>
      <c r="C232">
        <v>681.68</v>
      </c>
      <c r="D232">
        <v>8.9800000000000001E-3</v>
      </c>
      <c r="E232">
        <v>5.3879999999999999</v>
      </c>
      <c r="F232">
        <v>0.28000000000000003</v>
      </c>
      <c r="G232" s="2">
        <v>2.6869999999999998</v>
      </c>
      <c r="H232">
        <v>100</v>
      </c>
      <c r="J232">
        <f t="shared" si="8"/>
        <v>1.1359999999999999</v>
      </c>
      <c r="K232">
        <f t="shared" si="9"/>
        <v>2.6869999999999998</v>
      </c>
      <c r="M232">
        <v>1.17</v>
      </c>
      <c r="N232" t="s">
        <v>23</v>
      </c>
      <c r="O232" t="s">
        <v>33</v>
      </c>
      <c r="P232">
        <v>3</v>
      </c>
    </row>
    <row r="233" spans="1:19" x14ac:dyDescent="0.2">
      <c r="A233" t="s">
        <v>17</v>
      </c>
      <c r="B233" s="2">
        <v>0</v>
      </c>
      <c r="C233">
        <v>0.06</v>
      </c>
      <c r="D233">
        <v>4.2000000000000002E-4</v>
      </c>
      <c r="E233">
        <v>0.253</v>
      </c>
      <c r="F233">
        <v>7.0000000000000001E-3</v>
      </c>
      <c r="J233">
        <f t="shared" si="8"/>
        <v>0</v>
      </c>
      <c r="K233" t="str">
        <f t="shared" si="9"/>
        <v/>
      </c>
    </row>
    <row r="234" spans="1:19" x14ac:dyDescent="0.2">
      <c r="J234" t="str">
        <f t="shared" si="8"/>
        <v/>
      </c>
      <c r="K234" t="str">
        <f t="shared" si="9"/>
        <v/>
      </c>
    </row>
    <row r="235" spans="1:19" x14ac:dyDescent="0.2">
      <c r="B235" s="2">
        <v>1.123</v>
      </c>
      <c r="C235">
        <v>674.18</v>
      </c>
      <c r="D235">
        <v>5.5500000000000002E-3</v>
      </c>
      <c r="E235">
        <v>3.3290000000000002</v>
      </c>
      <c r="F235">
        <v>0.114</v>
      </c>
      <c r="G235" s="2">
        <v>0.67900000000000005</v>
      </c>
      <c r="H235">
        <v>100</v>
      </c>
      <c r="J235">
        <f t="shared" si="8"/>
        <v>1.123</v>
      </c>
      <c r="K235">
        <f t="shared" si="9"/>
        <v>0.67900000000000005</v>
      </c>
      <c r="M235">
        <v>1.17</v>
      </c>
      <c r="N235" t="s">
        <v>23</v>
      </c>
      <c r="O235" t="s">
        <v>33</v>
      </c>
      <c r="P235">
        <v>3</v>
      </c>
    </row>
    <row r="236" spans="1:19" x14ac:dyDescent="0.2">
      <c r="A236" t="s">
        <v>17</v>
      </c>
      <c r="B236" s="2">
        <v>0</v>
      </c>
      <c r="C236">
        <v>0.09</v>
      </c>
      <c r="D236">
        <v>6.8000000000000005E-4</v>
      </c>
      <c r="E236">
        <v>0.40899999999999997</v>
      </c>
      <c r="F236">
        <v>7.0000000000000001E-3</v>
      </c>
      <c r="J236">
        <f t="shared" si="8"/>
        <v>0</v>
      </c>
      <c r="K236" t="str">
        <f t="shared" si="9"/>
        <v/>
      </c>
    </row>
    <row r="237" spans="1:19" x14ac:dyDescent="0.2">
      <c r="J237" t="str">
        <f t="shared" si="8"/>
        <v/>
      </c>
      <c r="K237" t="str">
        <f t="shared" si="9"/>
        <v/>
      </c>
    </row>
    <row r="238" spans="1:19" x14ac:dyDescent="0.2">
      <c r="B238" s="2">
        <v>1.1100000000000001</v>
      </c>
      <c r="C238">
        <v>665.97</v>
      </c>
      <c r="D238">
        <v>5.0869999999999999E-2</v>
      </c>
      <c r="E238">
        <v>30.524000000000001</v>
      </c>
      <c r="F238">
        <v>1.2999999999999999E-2</v>
      </c>
      <c r="G238" s="2">
        <v>0.71899999999999997</v>
      </c>
      <c r="H238">
        <v>100</v>
      </c>
      <c r="J238">
        <f t="shared" si="8"/>
        <v>1.1100000000000001</v>
      </c>
      <c r="K238">
        <f t="shared" si="9"/>
        <v>0.71899999999999997</v>
      </c>
      <c r="M238">
        <v>1.17</v>
      </c>
      <c r="N238" t="s">
        <v>23</v>
      </c>
      <c r="O238" t="s">
        <v>33</v>
      </c>
      <c r="P238">
        <v>3</v>
      </c>
    </row>
    <row r="239" spans="1:19" x14ac:dyDescent="0.2">
      <c r="A239" t="s">
        <v>17</v>
      </c>
      <c r="B239" s="2">
        <v>1.2E-2</v>
      </c>
      <c r="C239">
        <v>7.38</v>
      </c>
      <c r="D239">
        <v>2.5729999999999999E-2</v>
      </c>
      <c r="E239">
        <v>15.438000000000001</v>
      </c>
      <c r="F239">
        <v>3.0000000000000001E-3</v>
      </c>
      <c r="J239">
        <f t="shared" si="8"/>
        <v>1.2E-2</v>
      </c>
      <c r="K239" t="str">
        <f t="shared" si="9"/>
        <v/>
      </c>
      <c r="O239" t="s">
        <v>33</v>
      </c>
      <c r="Q239">
        <f>SUM(K220, K223, K226, K229, K232, K235, K238)</f>
        <v>11.712999999999999</v>
      </c>
      <c r="R239">
        <f>Q239/P238</f>
        <v>3.9043333333333332</v>
      </c>
      <c r="S239">
        <f>R239/10</f>
        <v>0.3904333333333333</v>
      </c>
    </row>
    <row r="240" spans="1:19" x14ac:dyDescent="0.2">
      <c r="J240" t="str">
        <f t="shared" si="8"/>
        <v/>
      </c>
      <c r="K240" t="str">
        <f t="shared" si="9"/>
        <v/>
      </c>
    </row>
    <row r="241" spans="1:16" x14ac:dyDescent="0.2">
      <c r="B241" s="2">
        <v>1.008</v>
      </c>
      <c r="C241">
        <v>604.75</v>
      </c>
      <c r="D241">
        <v>5.3449999999999998E-2</v>
      </c>
      <c r="E241">
        <v>32.076999999999998</v>
      </c>
      <c r="F241">
        <v>5.5E-2</v>
      </c>
      <c r="G241" s="2">
        <v>3.125</v>
      </c>
      <c r="H241">
        <v>100</v>
      </c>
      <c r="J241">
        <f t="shared" si="8"/>
        <v>1.008</v>
      </c>
      <c r="K241">
        <f t="shared" si="9"/>
        <v>3.125</v>
      </c>
    </row>
    <row r="242" spans="1:16" x14ac:dyDescent="0.2">
      <c r="A242" t="s">
        <v>17</v>
      </c>
      <c r="B242" s="2">
        <v>2E-3</v>
      </c>
      <c r="C242">
        <v>0.91</v>
      </c>
      <c r="D242">
        <v>3.3899999999999998E-3</v>
      </c>
      <c r="E242">
        <v>2.036</v>
      </c>
      <c r="F242">
        <v>3.0000000000000001E-3</v>
      </c>
      <c r="J242">
        <f t="shared" si="8"/>
        <v>2E-3</v>
      </c>
      <c r="K242" t="str">
        <f t="shared" si="9"/>
        <v/>
      </c>
    </row>
    <row r="243" spans="1:16" x14ac:dyDescent="0.2">
      <c r="J243" t="str">
        <f t="shared" si="8"/>
        <v/>
      </c>
      <c r="K243" t="str">
        <f t="shared" si="9"/>
        <v/>
      </c>
    </row>
    <row r="244" spans="1:16" x14ac:dyDescent="0.2">
      <c r="B244" s="2">
        <v>0.98899999999999999</v>
      </c>
      <c r="C244">
        <v>593.63</v>
      </c>
      <c r="D244">
        <v>8.26E-3</v>
      </c>
      <c r="E244">
        <v>4.9539999999999997</v>
      </c>
      <c r="F244">
        <v>2.1000000000000001E-2</v>
      </c>
      <c r="G244" s="2">
        <v>0.18099999999999999</v>
      </c>
      <c r="H244">
        <v>100</v>
      </c>
      <c r="J244">
        <f t="shared" si="8"/>
        <v>0.98899999999999999</v>
      </c>
      <c r="K244">
        <f t="shared" si="9"/>
        <v>0.18099999999999999</v>
      </c>
    </row>
    <row r="245" spans="1:16" x14ac:dyDescent="0.2">
      <c r="A245" t="s">
        <v>17</v>
      </c>
      <c r="B245" s="2">
        <v>1E-3</v>
      </c>
      <c r="C245">
        <v>0.56999999999999995</v>
      </c>
      <c r="D245">
        <v>3.9500000000000004E-3</v>
      </c>
      <c r="E245">
        <v>2.367</v>
      </c>
      <c r="F245">
        <v>5.0000000000000001E-3</v>
      </c>
      <c r="J245">
        <f t="shared" si="8"/>
        <v>1E-3</v>
      </c>
      <c r="K245" t="str">
        <f t="shared" si="9"/>
        <v/>
      </c>
    </row>
    <row r="246" spans="1:16" x14ac:dyDescent="0.2">
      <c r="J246" t="str">
        <f t="shared" si="8"/>
        <v/>
      </c>
      <c r="K246" t="str">
        <f t="shared" si="9"/>
        <v/>
      </c>
    </row>
    <row r="247" spans="1:16" x14ac:dyDescent="0.2">
      <c r="B247" s="2">
        <v>0.90700000000000003</v>
      </c>
      <c r="C247">
        <v>544.12</v>
      </c>
      <c r="D247">
        <v>8.2500000000000004E-3</v>
      </c>
      <c r="E247">
        <v>4.9480000000000004</v>
      </c>
      <c r="F247">
        <v>6.9000000000000006E-2</v>
      </c>
      <c r="G247" s="2">
        <v>0.60899999999999999</v>
      </c>
      <c r="H247">
        <v>100</v>
      </c>
      <c r="J247">
        <f t="shared" si="8"/>
        <v>0.90700000000000003</v>
      </c>
      <c r="K247">
        <f t="shared" si="9"/>
        <v>0.60899999999999999</v>
      </c>
      <c r="M247">
        <v>0.88</v>
      </c>
      <c r="N247" t="s">
        <v>24</v>
      </c>
      <c r="O247" t="s">
        <v>33</v>
      </c>
      <c r="P247">
        <v>3</v>
      </c>
    </row>
    <row r="248" spans="1:16" x14ac:dyDescent="0.2">
      <c r="A248" t="s">
        <v>17</v>
      </c>
      <c r="B248" s="2">
        <v>0</v>
      </c>
      <c r="C248">
        <v>0.19</v>
      </c>
      <c r="D248">
        <v>1.0200000000000001E-3</v>
      </c>
      <c r="E248">
        <v>0.61399999999999999</v>
      </c>
      <c r="F248">
        <v>5.0000000000000001E-3</v>
      </c>
      <c r="J248">
        <f t="shared" si="8"/>
        <v>0</v>
      </c>
      <c r="K248" t="str">
        <f t="shared" si="9"/>
        <v/>
      </c>
    </row>
    <row r="249" spans="1:16" x14ac:dyDescent="0.2">
      <c r="J249" t="str">
        <f t="shared" si="8"/>
        <v/>
      </c>
      <c r="K249" t="str">
        <f t="shared" si="9"/>
        <v/>
      </c>
    </row>
    <row r="250" spans="1:16" x14ac:dyDescent="0.2">
      <c r="B250" s="2">
        <v>0.89400000000000002</v>
      </c>
      <c r="C250">
        <v>536.17999999999995</v>
      </c>
      <c r="D250">
        <v>9.4199999999999996E-3</v>
      </c>
      <c r="E250">
        <v>5.6529999999999996</v>
      </c>
      <c r="F250">
        <v>0.13900000000000001</v>
      </c>
      <c r="G250" s="2">
        <v>1.4059999999999999</v>
      </c>
      <c r="H250">
        <v>100</v>
      </c>
      <c r="J250">
        <f t="shared" si="8"/>
        <v>0.89400000000000002</v>
      </c>
      <c r="K250">
        <f t="shared" si="9"/>
        <v>1.4059999999999999</v>
      </c>
      <c r="M250">
        <v>0.88</v>
      </c>
      <c r="N250" t="s">
        <v>24</v>
      </c>
      <c r="O250" t="s">
        <v>33</v>
      </c>
      <c r="P250">
        <v>3</v>
      </c>
    </row>
    <row r="251" spans="1:16" x14ac:dyDescent="0.2">
      <c r="A251" t="s">
        <v>17</v>
      </c>
      <c r="B251" s="2">
        <v>0</v>
      </c>
      <c r="C251">
        <v>0.12</v>
      </c>
      <c r="D251">
        <v>9.1E-4</v>
      </c>
      <c r="E251">
        <v>0.54300000000000004</v>
      </c>
      <c r="F251">
        <v>7.0000000000000001E-3</v>
      </c>
      <c r="J251">
        <f t="shared" si="8"/>
        <v>0</v>
      </c>
      <c r="K251" t="str">
        <f t="shared" si="9"/>
        <v/>
      </c>
    </row>
    <row r="252" spans="1:16" x14ac:dyDescent="0.2">
      <c r="J252" t="str">
        <f t="shared" si="8"/>
        <v/>
      </c>
      <c r="K252" t="str">
        <f t="shared" si="9"/>
        <v/>
      </c>
    </row>
    <row r="253" spans="1:16" x14ac:dyDescent="0.2">
      <c r="B253" s="2">
        <v>0.88</v>
      </c>
      <c r="C253">
        <v>528.22</v>
      </c>
      <c r="D253">
        <v>1.4319999999999999E-2</v>
      </c>
      <c r="E253">
        <v>8.5960000000000001</v>
      </c>
      <c r="F253">
        <v>0.22600000000000001</v>
      </c>
      <c r="G253" s="2">
        <v>3.468</v>
      </c>
      <c r="H253">
        <v>100</v>
      </c>
      <c r="J253">
        <f t="shared" si="8"/>
        <v>0.88</v>
      </c>
      <c r="K253">
        <f t="shared" si="9"/>
        <v>3.468</v>
      </c>
      <c r="M253">
        <v>0.88</v>
      </c>
      <c r="N253" t="s">
        <v>24</v>
      </c>
      <c r="O253" t="s">
        <v>33</v>
      </c>
      <c r="P253">
        <v>3</v>
      </c>
    </row>
    <row r="254" spans="1:16" x14ac:dyDescent="0.2">
      <c r="A254" t="s">
        <v>17</v>
      </c>
      <c r="B254" s="2">
        <v>0</v>
      </c>
      <c r="C254">
        <v>0.14000000000000001</v>
      </c>
      <c r="D254">
        <v>1.23E-3</v>
      </c>
      <c r="E254">
        <v>0.73699999999999999</v>
      </c>
      <c r="F254">
        <v>0.01</v>
      </c>
      <c r="J254">
        <f t="shared" si="8"/>
        <v>0</v>
      </c>
      <c r="K254" t="str">
        <f t="shared" si="9"/>
        <v/>
      </c>
    </row>
    <row r="255" spans="1:16" x14ac:dyDescent="0.2">
      <c r="J255" t="str">
        <f t="shared" si="8"/>
        <v/>
      </c>
      <c r="K255" t="str">
        <f t="shared" si="9"/>
        <v/>
      </c>
    </row>
    <row r="256" spans="1:16" x14ac:dyDescent="0.2">
      <c r="B256" s="2">
        <v>0.86699999999999999</v>
      </c>
      <c r="C256">
        <v>520.41</v>
      </c>
      <c r="D256">
        <v>1.278E-2</v>
      </c>
      <c r="E256">
        <v>7.6689999999999996</v>
      </c>
      <c r="F256">
        <v>0.26300000000000001</v>
      </c>
      <c r="G256" s="2">
        <v>3.6</v>
      </c>
      <c r="H256">
        <v>100</v>
      </c>
      <c r="J256">
        <f t="shared" si="8"/>
        <v>0.86699999999999999</v>
      </c>
      <c r="K256">
        <f t="shared" si="9"/>
        <v>3.6</v>
      </c>
      <c r="M256">
        <v>0.88</v>
      </c>
      <c r="N256" t="s">
        <v>24</v>
      </c>
      <c r="O256" t="s">
        <v>33</v>
      </c>
      <c r="P256">
        <v>3</v>
      </c>
    </row>
    <row r="257" spans="1:19" x14ac:dyDescent="0.2">
      <c r="A257" t="s">
        <v>17</v>
      </c>
      <c r="B257" s="2">
        <v>0</v>
      </c>
      <c r="C257">
        <v>0.14000000000000001</v>
      </c>
      <c r="D257">
        <v>1.2899999999999999E-3</v>
      </c>
      <c r="E257">
        <v>0.77600000000000002</v>
      </c>
      <c r="F257">
        <v>1.6E-2</v>
      </c>
      <c r="J257">
        <f t="shared" si="8"/>
        <v>0</v>
      </c>
      <c r="K257" t="str">
        <f t="shared" si="9"/>
        <v/>
      </c>
    </row>
    <row r="258" spans="1:19" x14ac:dyDescent="0.2">
      <c r="J258" t="str">
        <f t="shared" si="8"/>
        <v/>
      </c>
      <c r="K258" t="str">
        <f t="shared" si="9"/>
        <v/>
      </c>
    </row>
    <row r="259" spans="1:19" x14ac:dyDescent="0.2">
      <c r="B259" s="2">
        <v>0.85699999999999998</v>
      </c>
      <c r="C259">
        <v>514.54</v>
      </c>
      <c r="D259">
        <v>1.0240000000000001E-2</v>
      </c>
      <c r="E259">
        <v>6.1420000000000003</v>
      </c>
      <c r="F259">
        <v>0.26800000000000002</v>
      </c>
      <c r="G259" s="2">
        <v>2.9319999999999999</v>
      </c>
      <c r="H259">
        <v>100</v>
      </c>
      <c r="J259">
        <f t="shared" si="8"/>
        <v>0.85699999999999998</v>
      </c>
      <c r="K259">
        <f t="shared" si="9"/>
        <v>2.9319999999999999</v>
      </c>
      <c r="M259">
        <v>0.88</v>
      </c>
      <c r="N259" t="s">
        <v>24</v>
      </c>
      <c r="O259" t="s">
        <v>33</v>
      </c>
      <c r="P259">
        <v>3</v>
      </c>
    </row>
    <row r="260" spans="1:19" x14ac:dyDescent="0.2">
      <c r="A260" t="s">
        <v>17</v>
      </c>
      <c r="B260" s="2">
        <v>0</v>
      </c>
      <c r="C260">
        <v>0.11</v>
      </c>
      <c r="D260">
        <v>8.9999999999999998E-4</v>
      </c>
      <c r="E260">
        <v>0.54</v>
      </c>
      <c r="F260">
        <v>1.6E-2</v>
      </c>
      <c r="J260">
        <f t="shared" si="8"/>
        <v>0</v>
      </c>
      <c r="K260" t="str">
        <f t="shared" si="9"/>
        <v/>
      </c>
    </row>
    <row r="261" spans="1:19" x14ac:dyDescent="0.2">
      <c r="J261" t="str">
        <f t="shared" si="8"/>
        <v/>
      </c>
      <c r="K261" t="str">
        <f t="shared" si="9"/>
        <v/>
      </c>
    </row>
    <row r="262" spans="1:19" x14ac:dyDescent="0.2">
      <c r="B262" s="2">
        <v>0.84599999999999997</v>
      </c>
      <c r="C262">
        <v>507.89</v>
      </c>
      <c r="D262">
        <v>9.7000000000000003E-3</v>
      </c>
      <c r="E262">
        <v>5.8209999999999997</v>
      </c>
      <c r="F262">
        <v>0.26</v>
      </c>
      <c r="G262" s="2">
        <v>2.6989999999999998</v>
      </c>
      <c r="H262">
        <v>100</v>
      </c>
      <c r="J262">
        <f t="shared" si="8"/>
        <v>0.84599999999999997</v>
      </c>
      <c r="K262">
        <f t="shared" si="9"/>
        <v>2.6989999999999998</v>
      </c>
      <c r="M262">
        <v>0.88</v>
      </c>
      <c r="N262" t="s">
        <v>24</v>
      </c>
      <c r="O262" t="s">
        <v>33</v>
      </c>
      <c r="P262">
        <v>3</v>
      </c>
    </row>
    <row r="263" spans="1:19" x14ac:dyDescent="0.2">
      <c r="A263" t="s">
        <v>17</v>
      </c>
      <c r="B263" s="2">
        <v>0</v>
      </c>
      <c r="C263">
        <v>0.08</v>
      </c>
      <c r="D263">
        <v>6.4000000000000005E-4</v>
      </c>
      <c r="E263">
        <v>0.38400000000000001</v>
      </c>
      <c r="F263">
        <v>7.0000000000000001E-3</v>
      </c>
      <c r="J263">
        <f t="shared" si="8"/>
        <v>0</v>
      </c>
      <c r="K263" t="str">
        <f t="shared" si="9"/>
        <v/>
      </c>
    </row>
    <row r="264" spans="1:19" x14ac:dyDescent="0.2">
      <c r="J264" t="str">
        <f t="shared" si="8"/>
        <v/>
      </c>
      <c r="K264" t="str">
        <f t="shared" si="9"/>
        <v/>
      </c>
    </row>
    <row r="265" spans="1:19" x14ac:dyDescent="0.2">
      <c r="B265" s="2">
        <v>0.83599999999999997</v>
      </c>
      <c r="C265">
        <v>501.54</v>
      </c>
      <c r="D265">
        <v>7.5399999999999998E-3</v>
      </c>
      <c r="E265">
        <v>4.5259999999999998</v>
      </c>
      <c r="F265">
        <v>0.19</v>
      </c>
      <c r="G265" s="2">
        <v>1.538</v>
      </c>
      <c r="H265">
        <v>100</v>
      </c>
      <c r="J265">
        <f t="shared" si="8"/>
        <v>0.83599999999999997</v>
      </c>
      <c r="K265">
        <f t="shared" si="9"/>
        <v>1.538</v>
      </c>
      <c r="M265">
        <v>0.88</v>
      </c>
      <c r="N265" t="s">
        <v>24</v>
      </c>
      <c r="O265" t="s">
        <v>33</v>
      </c>
      <c r="P265">
        <v>3</v>
      </c>
    </row>
    <row r="266" spans="1:19" x14ac:dyDescent="0.2">
      <c r="A266" t="s">
        <v>17</v>
      </c>
      <c r="B266" s="2">
        <v>0</v>
      </c>
      <c r="C266">
        <v>0.08</v>
      </c>
      <c r="D266">
        <v>6.4999999999999997E-4</v>
      </c>
      <c r="E266">
        <v>0.39100000000000001</v>
      </c>
      <c r="F266">
        <v>7.0000000000000001E-3</v>
      </c>
      <c r="J266">
        <f t="shared" si="8"/>
        <v>0</v>
      </c>
      <c r="K266" t="str">
        <f t="shared" si="9"/>
        <v/>
      </c>
    </row>
    <row r="267" spans="1:19" x14ac:dyDescent="0.2">
      <c r="J267" t="str">
        <f t="shared" si="8"/>
        <v/>
      </c>
      <c r="K267" t="str">
        <f t="shared" si="9"/>
        <v/>
      </c>
    </row>
    <row r="268" spans="1:19" x14ac:dyDescent="0.2">
      <c r="B268" s="2">
        <v>0.82499999999999996</v>
      </c>
      <c r="C268">
        <v>495.2</v>
      </c>
      <c r="D268">
        <v>1.089E-2</v>
      </c>
      <c r="E268">
        <v>6.5380000000000003</v>
      </c>
      <c r="F268">
        <v>0.182</v>
      </c>
      <c r="G268" s="2">
        <v>2.1240000000000001</v>
      </c>
      <c r="H268">
        <v>100</v>
      </c>
      <c r="J268">
        <f t="shared" si="8"/>
        <v>0.82499999999999996</v>
      </c>
      <c r="K268">
        <f t="shared" si="9"/>
        <v>2.1240000000000001</v>
      </c>
      <c r="M268">
        <v>0.88</v>
      </c>
      <c r="N268" t="s">
        <v>24</v>
      </c>
      <c r="O268" t="s">
        <v>33</v>
      </c>
      <c r="P268">
        <v>3</v>
      </c>
    </row>
    <row r="269" spans="1:19" x14ac:dyDescent="0.2">
      <c r="A269" t="s">
        <v>17</v>
      </c>
      <c r="B269" s="2">
        <v>0</v>
      </c>
      <c r="C269">
        <v>0.11</v>
      </c>
      <c r="D269">
        <v>8.8999999999999995E-4</v>
      </c>
      <c r="E269">
        <v>0.53600000000000003</v>
      </c>
      <c r="F269">
        <v>5.0000000000000001E-3</v>
      </c>
      <c r="J269">
        <f t="shared" si="8"/>
        <v>0</v>
      </c>
      <c r="K269" t="str">
        <f t="shared" si="9"/>
        <v/>
      </c>
    </row>
    <row r="270" spans="1:19" x14ac:dyDescent="0.2">
      <c r="J270" t="str">
        <f t="shared" si="8"/>
        <v/>
      </c>
      <c r="K270" t="str">
        <f t="shared" si="9"/>
        <v/>
      </c>
    </row>
    <row r="271" spans="1:19" x14ac:dyDescent="0.2">
      <c r="B271" s="2">
        <v>0.81200000000000006</v>
      </c>
      <c r="C271">
        <v>487.56</v>
      </c>
      <c r="D271">
        <v>1.008E-2</v>
      </c>
      <c r="E271">
        <v>6.05</v>
      </c>
      <c r="F271">
        <v>7.2999999999999995E-2</v>
      </c>
      <c r="G271" s="2">
        <v>0.79100000000000004</v>
      </c>
      <c r="H271">
        <v>100</v>
      </c>
      <c r="J271">
        <f t="shared" si="8"/>
        <v>0.81200000000000006</v>
      </c>
      <c r="K271">
        <f t="shared" si="9"/>
        <v>0.79100000000000004</v>
      </c>
      <c r="M271">
        <v>0.88</v>
      </c>
      <c r="N271" t="s">
        <v>24</v>
      </c>
      <c r="O271" t="s">
        <v>33</v>
      </c>
      <c r="P271">
        <v>3</v>
      </c>
    </row>
    <row r="272" spans="1:19" x14ac:dyDescent="0.2">
      <c r="A272" t="s">
        <v>17</v>
      </c>
      <c r="B272" s="2">
        <v>0</v>
      </c>
      <c r="C272">
        <v>0.23</v>
      </c>
      <c r="D272">
        <v>1.25E-3</v>
      </c>
      <c r="E272">
        <v>0.751</v>
      </c>
      <c r="F272">
        <v>5.0000000000000001E-3</v>
      </c>
      <c r="J272">
        <f t="shared" si="8"/>
        <v>0</v>
      </c>
      <c r="K272" t="str">
        <f t="shared" si="9"/>
        <v/>
      </c>
      <c r="O272" t="s">
        <v>33</v>
      </c>
      <c r="P272">
        <v>3</v>
      </c>
      <c r="Q272">
        <f>SUM(K247, K250, K253, K256, K259, K262, K265, K268, K271)</f>
        <v>19.166999999999998</v>
      </c>
      <c r="R272">
        <f>Q272/P271</f>
        <v>6.3889999999999993</v>
      </c>
      <c r="S272">
        <f>R272/12.52</f>
        <v>0.51030351437699673</v>
      </c>
    </row>
    <row r="273" spans="1:11" x14ac:dyDescent="0.2">
      <c r="J273" t="str">
        <f t="shared" si="8"/>
        <v/>
      </c>
      <c r="K273" t="str">
        <f t="shared" si="9"/>
        <v/>
      </c>
    </row>
    <row r="274" spans="1:11" x14ac:dyDescent="0.2">
      <c r="B274" s="2">
        <v>0.73099999999999998</v>
      </c>
      <c r="C274">
        <v>438.82</v>
      </c>
      <c r="D274">
        <v>6.7400000000000003E-3</v>
      </c>
      <c r="E274">
        <v>4.0460000000000003</v>
      </c>
      <c r="F274">
        <v>3.4000000000000002E-2</v>
      </c>
      <c r="G274" s="2">
        <v>0.24399999999999999</v>
      </c>
      <c r="H274">
        <v>100</v>
      </c>
      <c r="J274">
        <f t="shared" si="8"/>
        <v>0.73099999999999998</v>
      </c>
      <c r="K274">
        <f t="shared" si="9"/>
        <v>0.24399999999999999</v>
      </c>
    </row>
    <row r="275" spans="1:11" x14ac:dyDescent="0.2">
      <c r="A275" t="s">
        <v>17</v>
      </c>
      <c r="B275" s="2">
        <v>1E-3</v>
      </c>
      <c r="C275">
        <v>0.31</v>
      </c>
      <c r="D275">
        <v>1.66E-3</v>
      </c>
      <c r="E275">
        <v>0.99399999999999999</v>
      </c>
      <c r="F275">
        <v>5.0000000000000001E-3</v>
      </c>
      <c r="J275">
        <f t="shared" si="8"/>
        <v>1E-3</v>
      </c>
      <c r="K275" t="str">
        <f t="shared" si="9"/>
        <v/>
      </c>
    </row>
    <row r="276" spans="1:11" x14ac:dyDescent="0.2">
      <c r="J276" t="str">
        <f t="shared" si="8"/>
        <v/>
      </c>
      <c r="K276" t="str">
        <f t="shared" si="9"/>
        <v/>
      </c>
    </row>
    <row r="277" spans="1:11" x14ac:dyDescent="0.2">
      <c r="B277" s="2">
        <v>0.71399999999999997</v>
      </c>
      <c r="C277">
        <v>428.17</v>
      </c>
      <c r="D277">
        <v>9.6299999999999997E-3</v>
      </c>
      <c r="E277">
        <v>5.7779999999999996</v>
      </c>
      <c r="F277">
        <v>3.6999999999999998E-2</v>
      </c>
      <c r="G277" s="2">
        <v>0.378</v>
      </c>
      <c r="H277">
        <v>100</v>
      </c>
      <c r="J277">
        <f t="shared" si="8"/>
        <v>0.71399999999999997</v>
      </c>
      <c r="K277">
        <f t="shared" si="9"/>
        <v>0.378</v>
      </c>
    </row>
    <row r="278" spans="1:11" x14ac:dyDescent="0.2">
      <c r="A278" t="s">
        <v>17</v>
      </c>
      <c r="B278" s="2">
        <v>1E-3</v>
      </c>
      <c r="C278">
        <v>0.39</v>
      </c>
      <c r="D278">
        <v>2.9299999999999999E-3</v>
      </c>
      <c r="E278">
        <v>1.756</v>
      </c>
      <c r="F278">
        <v>6.0000000000000001E-3</v>
      </c>
      <c r="J278">
        <f t="shared" si="8"/>
        <v>1E-3</v>
      </c>
      <c r="K278" t="str">
        <f t="shared" si="9"/>
        <v/>
      </c>
    </row>
    <row r="279" spans="1:11" x14ac:dyDescent="0.2">
      <c r="J279" t="str">
        <f t="shared" si="8"/>
        <v/>
      </c>
      <c r="K279" t="str">
        <f t="shared" si="9"/>
        <v/>
      </c>
    </row>
    <row r="280" spans="1:11" x14ac:dyDescent="0.2">
      <c r="B280" s="2">
        <v>0.69799999999999995</v>
      </c>
      <c r="C280">
        <v>419.09</v>
      </c>
      <c r="D280">
        <v>3.0880000000000001E-2</v>
      </c>
      <c r="E280">
        <v>18.527999999999999</v>
      </c>
      <c r="F280">
        <v>3.5999999999999997E-2</v>
      </c>
      <c r="G280" s="2">
        <v>1.179</v>
      </c>
      <c r="H280">
        <v>100</v>
      </c>
      <c r="J280">
        <f t="shared" si="8"/>
        <v>0.69799999999999995</v>
      </c>
      <c r="K280">
        <f t="shared" si="9"/>
        <v>1.179</v>
      </c>
    </row>
    <row r="281" spans="1:11" x14ac:dyDescent="0.2">
      <c r="A281" t="s">
        <v>17</v>
      </c>
      <c r="B281" s="2">
        <v>2E-3</v>
      </c>
      <c r="C281">
        <v>1.46</v>
      </c>
      <c r="D281">
        <v>4.5599999999999998E-3</v>
      </c>
      <c r="E281">
        <v>2.7360000000000002</v>
      </c>
      <c r="F281">
        <v>4.0000000000000001E-3</v>
      </c>
      <c r="J281">
        <f t="shared" ref="J281:J287" si="10">IF(ISBLANK(B281), "", B281)</f>
        <v>2E-3</v>
      </c>
      <c r="K281" t="str">
        <f t="shared" ref="K281:K287" si="11">IF(ISBLANK(G281), "", G281)</f>
        <v/>
      </c>
    </row>
    <row r="282" spans="1:11" x14ac:dyDescent="0.2">
      <c r="J282" t="str">
        <f t="shared" si="10"/>
        <v/>
      </c>
      <c r="K282" t="str">
        <f t="shared" si="11"/>
        <v/>
      </c>
    </row>
    <row r="283" spans="1:11" x14ac:dyDescent="0.2">
      <c r="B283" s="2">
        <v>0.50700000000000001</v>
      </c>
      <c r="C283">
        <v>304.25</v>
      </c>
      <c r="D283">
        <v>2.1530000000000001E-2</v>
      </c>
      <c r="E283">
        <v>12.922000000000001</v>
      </c>
      <c r="F283">
        <v>7.0000000000000001E-3</v>
      </c>
      <c r="G283" s="2">
        <v>0.151</v>
      </c>
      <c r="H283">
        <v>100</v>
      </c>
      <c r="J283">
        <f t="shared" si="10"/>
        <v>0.50700000000000001</v>
      </c>
      <c r="K283">
        <f t="shared" si="11"/>
        <v>0.151</v>
      </c>
    </row>
    <row r="284" spans="1:11" x14ac:dyDescent="0.2">
      <c r="A284" t="s">
        <v>17</v>
      </c>
      <c r="B284" s="2">
        <v>5.0000000000000001E-3</v>
      </c>
      <c r="C284">
        <v>2.78</v>
      </c>
      <c r="D284">
        <v>1.3140000000000001E-2</v>
      </c>
      <c r="E284">
        <v>7.8869999999999996</v>
      </c>
      <c r="F284">
        <v>3.0000000000000001E-3</v>
      </c>
      <c r="J284">
        <f t="shared" si="10"/>
        <v>5.0000000000000001E-3</v>
      </c>
      <c r="K284" t="str">
        <f t="shared" si="11"/>
        <v/>
      </c>
    </row>
    <row r="285" spans="1:11" x14ac:dyDescent="0.2">
      <c r="J285" t="str">
        <f t="shared" si="10"/>
        <v/>
      </c>
      <c r="K285" t="str">
        <f t="shared" si="11"/>
        <v/>
      </c>
    </row>
    <row r="286" spans="1:11" x14ac:dyDescent="0.2">
      <c r="B286" s="2">
        <v>0.20100000000000001</v>
      </c>
      <c r="C286">
        <v>120.46</v>
      </c>
      <c r="D286">
        <v>3.5880000000000002E-2</v>
      </c>
      <c r="E286">
        <v>21.532</v>
      </c>
      <c r="F286">
        <v>0.01</v>
      </c>
      <c r="G286" s="2">
        <v>0.38100000000000001</v>
      </c>
      <c r="H286">
        <v>100</v>
      </c>
      <c r="J286">
        <f t="shared" si="10"/>
        <v>0.20100000000000001</v>
      </c>
      <c r="K286">
        <f t="shared" si="11"/>
        <v>0.38100000000000001</v>
      </c>
    </row>
    <row r="287" spans="1:11" x14ac:dyDescent="0.2">
      <c r="A287" t="s">
        <v>17</v>
      </c>
      <c r="B287" s="2">
        <v>5.0000000000000001E-3</v>
      </c>
      <c r="C287">
        <v>3.12</v>
      </c>
      <c r="D287">
        <v>1.5689999999999999E-2</v>
      </c>
      <c r="E287">
        <v>9.4149999999999991</v>
      </c>
      <c r="F287">
        <v>2E-3</v>
      </c>
      <c r="J287">
        <f t="shared" si="10"/>
        <v>5.0000000000000001E-3</v>
      </c>
      <c r="K287" t="str">
        <f t="shared" si="11"/>
        <v/>
      </c>
    </row>
    <row r="290" spans="1:30" x14ac:dyDescent="0.2">
      <c r="M290">
        <f>SUMIF(N10:N271, N290, M10:M271)</f>
        <v>109.38000000000002</v>
      </c>
      <c r="N290" t="s">
        <v>21</v>
      </c>
    </row>
    <row r="291" spans="1:30" x14ac:dyDescent="0.2">
      <c r="M291">
        <f t="shared" ref="M291:M294" si="12">SUMIF(N11:N272, N291, M11:M272)</f>
        <v>30.090000000000011</v>
      </c>
      <c r="N291" t="s">
        <v>23</v>
      </c>
    </row>
    <row r="292" spans="1:30" x14ac:dyDescent="0.2">
      <c r="M292">
        <f t="shared" si="12"/>
        <v>17.190000000000001</v>
      </c>
      <c r="N292" t="s">
        <v>22</v>
      </c>
    </row>
    <row r="293" spans="1:30" x14ac:dyDescent="0.2">
      <c r="M293">
        <f t="shared" si="12"/>
        <v>11.459999999999999</v>
      </c>
      <c r="N293" t="s">
        <v>25</v>
      </c>
    </row>
    <row r="294" spans="1:30" x14ac:dyDescent="0.2">
      <c r="M294">
        <f t="shared" si="12"/>
        <v>27.859999999999989</v>
      </c>
      <c r="N294" t="s">
        <v>24</v>
      </c>
      <c r="V294" s="11" t="s">
        <v>45</v>
      </c>
      <c r="W294" s="11"/>
      <c r="X294" s="11"/>
      <c r="Y294" s="11" t="s">
        <v>46</v>
      </c>
      <c r="Z294" s="11"/>
      <c r="AA294" s="11"/>
      <c r="AB294" s="11" t="s">
        <v>47</v>
      </c>
      <c r="AC294" s="11"/>
      <c r="AD294" s="11"/>
    </row>
    <row r="295" spans="1:30" x14ac:dyDescent="0.2">
      <c r="Q295" t="s">
        <v>34</v>
      </c>
      <c r="R295" t="s">
        <v>35</v>
      </c>
      <c r="S295" t="s">
        <v>36</v>
      </c>
      <c r="V295" t="s">
        <v>38</v>
      </c>
      <c r="W295" t="s">
        <v>43</v>
      </c>
      <c r="X295" t="s">
        <v>44</v>
      </c>
      <c r="Y295" t="s">
        <v>38</v>
      </c>
      <c r="Z295" t="s">
        <v>43</v>
      </c>
      <c r="AA295" t="s">
        <v>44</v>
      </c>
      <c r="AB295" t="s">
        <v>38</v>
      </c>
      <c r="AC295" t="s">
        <v>43</v>
      </c>
      <c r="AD295" t="s">
        <v>44</v>
      </c>
    </row>
    <row r="296" spans="1:30" x14ac:dyDescent="0.2">
      <c r="A296" t="s">
        <v>17</v>
      </c>
      <c r="B296" s="2">
        <v>0</v>
      </c>
      <c r="C296">
        <v>0.05</v>
      </c>
      <c r="D296">
        <v>2.7E-4</v>
      </c>
      <c r="E296">
        <v>0.16</v>
      </c>
      <c r="F296">
        <v>3.0000000000000001E-3</v>
      </c>
      <c r="J296">
        <v>0</v>
      </c>
      <c r="K296" t="s">
        <v>37</v>
      </c>
      <c r="N296" t="s">
        <v>21</v>
      </c>
      <c r="O296" t="s">
        <v>28</v>
      </c>
      <c r="Q296">
        <v>1.591</v>
      </c>
      <c r="R296">
        <v>1.591</v>
      </c>
      <c r="S296">
        <v>0.15909999999999999</v>
      </c>
    </row>
    <row r="297" spans="1:30" x14ac:dyDescent="0.2">
      <c r="A297" t="s">
        <v>17</v>
      </c>
      <c r="B297" s="2">
        <v>0</v>
      </c>
      <c r="C297">
        <v>0.13</v>
      </c>
      <c r="D297">
        <v>7.6999999999999996E-4</v>
      </c>
      <c r="E297">
        <v>0.46400000000000002</v>
      </c>
      <c r="F297">
        <v>4.0000000000000001E-3</v>
      </c>
      <c r="J297">
        <v>0</v>
      </c>
      <c r="K297" t="s">
        <v>37</v>
      </c>
      <c r="N297" t="s">
        <v>21</v>
      </c>
      <c r="O297" t="s">
        <v>29</v>
      </c>
      <c r="Q297">
        <v>11.745000000000001</v>
      </c>
      <c r="R297">
        <v>5.8725000000000005</v>
      </c>
      <c r="S297">
        <v>0.58725000000000005</v>
      </c>
    </row>
    <row r="298" spans="1:30" x14ac:dyDescent="0.2">
      <c r="A298" t="s">
        <v>17</v>
      </c>
      <c r="B298" s="2">
        <v>0</v>
      </c>
      <c r="C298">
        <v>0.17</v>
      </c>
      <c r="D298">
        <v>1.3600000000000001E-3</v>
      </c>
      <c r="E298">
        <v>0.81399999999999995</v>
      </c>
      <c r="F298">
        <v>1.0999999999999999E-2</v>
      </c>
      <c r="J298">
        <v>0</v>
      </c>
      <c r="K298" t="s">
        <v>37</v>
      </c>
      <c r="N298" t="s">
        <v>22</v>
      </c>
      <c r="O298" t="s">
        <v>30</v>
      </c>
      <c r="Q298">
        <v>8.4</v>
      </c>
      <c r="R298">
        <v>8.4</v>
      </c>
      <c r="S298">
        <v>0.84000000000000008</v>
      </c>
    </row>
    <row r="299" spans="1:30" x14ac:dyDescent="0.2">
      <c r="A299" t="s">
        <v>17</v>
      </c>
      <c r="B299" s="2">
        <v>0</v>
      </c>
      <c r="C299">
        <v>0.08</v>
      </c>
      <c r="D299">
        <v>1.75E-3</v>
      </c>
      <c r="E299">
        <v>1.0529999999999999</v>
      </c>
      <c r="F299">
        <v>8.4000000000000005E-2</v>
      </c>
      <c r="J299">
        <v>0</v>
      </c>
      <c r="K299" t="s">
        <v>37</v>
      </c>
      <c r="N299" t="s">
        <v>21</v>
      </c>
      <c r="O299" t="s">
        <v>29</v>
      </c>
      <c r="Q299">
        <v>9.4070000000000018</v>
      </c>
      <c r="R299">
        <v>4.7035000000000009</v>
      </c>
      <c r="S299">
        <v>0.4703500000000001</v>
      </c>
    </row>
    <row r="300" spans="1:30" x14ac:dyDescent="0.2">
      <c r="A300" t="s">
        <v>17</v>
      </c>
      <c r="B300" s="2">
        <v>1E-3</v>
      </c>
      <c r="C300">
        <v>0.88</v>
      </c>
      <c r="D300">
        <v>1.044E-2</v>
      </c>
      <c r="E300">
        <v>6.2670000000000003</v>
      </c>
      <c r="F300">
        <v>0.40400000000000003</v>
      </c>
      <c r="J300">
        <v>1E-3</v>
      </c>
      <c r="K300" t="s">
        <v>37</v>
      </c>
      <c r="N300" t="s">
        <v>23</v>
      </c>
      <c r="O300" t="s">
        <v>29</v>
      </c>
      <c r="Q300">
        <v>7.7039999999999997</v>
      </c>
      <c r="R300">
        <v>3.8519999999999999</v>
      </c>
      <c r="S300">
        <v>0.38519999999999999</v>
      </c>
    </row>
    <row r="301" spans="1:30" x14ac:dyDescent="0.2">
      <c r="A301" t="s">
        <v>17</v>
      </c>
      <c r="B301" s="2">
        <v>0</v>
      </c>
      <c r="C301">
        <v>0.17</v>
      </c>
      <c r="D301">
        <v>1.1100000000000001E-3</v>
      </c>
      <c r="E301">
        <v>0.66400000000000003</v>
      </c>
      <c r="F301">
        <v>5.0000000000000001E-3</v>
      </c>
      <c r="J301">
        <v>0</v>
      </c>
      <c r="K301" t="s">
        <v>37</v>
      </c>
      <c r="N301" t="s">
        <v>21</v>
      </c>
      <c r="O301" t="s">
        <v>31</v>
      </c>
      <c r="Q301">
        <v>4.3839999999999995</v>
      </c>
      <c r="R301">
        <v>4.3839999999999995</v>
      </c>
      <c r="S301">
        <v>0.43839999999999996</v>
      </c>
    </row>
    <row r="302" spans="1:30" x14ac:dyDescent="0.2">
      <c r="A302" t="s">
        <v>17</v>
      </c>
      <c r="B302" s="2">
        <v>0</v>
      </c>
      <c r="C302">
        <v>0.27</v>
      </c>
      <c r="D302">
        <v>1.31E-3</v>
      </c>
      <c r="E302">
        <v>0.78400000000000003</v>
      </c>
      <c r="F302">
        <v>8.9999999999999993E-3</v>
      </c>
      <c r="J302">
        <v>0</v>
      </c>
      <c r="K302" t="s">
        <v>37</v>
      </c>
      <c r="N302" t="s">
        <v>21</v>
      </c>
      <c r="O302" t="s">
        <v>31</v>
      </c>
      <c r="Q302">
        <v>11.159000000000001</v>
      </c>
      <c r="R302">
        <v>11.159000000000001</v>
      </c>
      <c r="S302">
        <v>1.1159000000000001</v>
      </c>
    </row>
    <row r="303" spans="1:30" x14ac:dyDescent="0.2">
      <c r="A303" t="s">
        <v>17</v>
      </c>
      <c r="B303" s="2">
        <v>0</v>
      </c>
      <c r="C303">
        <v>0.26</v>
      </c>
      <c r="D303">
        <v>1.1999999999999999E-3</v>
      </c>
      <c r="E303">
        <v>0.72099999999999997</v>
      </c>
      <c r="F303">
        <v>5.0000000000000001E-3</v>
      </c>
      <c r="J303">
        <v>0</v>
      </c>
      <c r="K303" t="s">
        <v>37</v>
      </c>
      <c r="N303" t="s">
        <v>21</v>
      </c>
      <c r="O303" t="s">
        <v>31</v>
      </c>
      <c r="Q303">
        <v>8.41</v>
      </c>
      <c r="R303">
        <v>8.41</v>
      </c>
      <c r="S303">
        <v>0.84099999999999997</v>
      </c>
    </row>
    <row r="304" spans="1:30" x14ac:dyDescent="0.2">
      <c r="A304" t="s">
        <v>17</v>
      </c>
      <c r="B304" s="2">
        <v>0</v>
      </c>
      <c r="C304">
        <v>0.14000000000000001</v>
      </c>
      <c r="D304">
        <v>7.3999999999999999E-4</v>
      </c>
      <c r="E304">
        <v>0.441</v>
      </c>
      <c r="F304">
        <v>5.0000000000000001E-3</v>
      </c>
      <c r="J304">
        <v>0</v>
      </c>
      <c r="K304" t="s">
        <v>37</v>
      </c>
      <c r="N304" t="s">
        <v>21</v>
      </c>
      <c r="O304" t="s">
        <v>31</v>
      </c>
      <c r="Q304">
        <v>4.859</v>
      </c>
      <c r="R304">
        <v>4.859</v>
      </c>
      <c r="S304">
        <v>0.4859</v>
      </c>
      <c r="T304" t="s">
        <v>48</v>
      </c>
      <c r="U304" t="s">
        <v>49</v>
      </c>
    </row>
    <row r="305" spans="1:30" x14ac:dyDescent="0.2">
      <c r="A305" t="s">
        <v>17</v>
      </c>
      <c r="B305" s="2">
        <v>1E-3</v>
      </c>
      <c r="C305">
        <v>0.44</v>
      </c>
      <c r="D305">
        <v>1.1100000000000001E-3</v>
      </c>
      <c r="E305">
        <v>0.66900000000000004</v>
      </c>
      <c r="F305">
        <v>6.0000000000000001E-3</v>
      </c>
      <c r="J305">
        <v>1E-3</v>
      </c>
      <c r="K305" t="s">
        <v>37</v>
      </c>
      <c r="N305" t="s">
        <v>24</v>
      </c>
      <c r="O305" t="s">
        <v>32</v>
      </c>
      <c r="Q305">
        <v>13.774000000000001</v>
      </c>
      <c r="R305">
        <v>6.8870000000000005</v>
      </c>
      <c r="S305">
        <v>0.55007987220447285</v>
      </c>
      <c r="T305">
        <v>2</v>
      </c>
      <c r="U305">
        <v>12.52</v>
      </c>
      <c r="V305">
        <v>7.8799999999999995E-2</v>
      </c>
      <c r="W305">
        <f>V305/2</f>
        <v>3.9399999999999998E-2</v>
      </c>
      <c r="X305">
        <f>W305/12.52</f>
        <v>3.1469648562300317E-3</v>
      </c>
      <c r="Y305">
        <v>0.1404</v>
      </c>
      <c r="Z305">
        <f>Y305/$T305</f>
        <v>7.0199999999999999E-2</v>
      </c>
      <c r="AA305">
        <f>Z305/$U305</f>
        <v>5.6070287539936106E-3</v>
      </c>
      <c r="AB305">
        <v>9.5899999999999999E-2</v>
      </c>
      <c r="AC305">
        <f>AB305/$T305</f>
        <v>4.795E-2</v>
      </c>
      <c r="AD305">
        <f>AC305/$U305</f>
        <v>3.8298722044728434E-3</v>
      </c>
    </row>
    <row r="306" spans="1:30" x14ac:dyDescent="0.2">
      <c r="A306" t="s">
        <v>17</v>
      </c>
      <c r="B306" s="2">
        <v>0</v>
      </c>
      <c r="C306">
        <v>0.03</v>
      </c>
      <c r="D306">
        <v>1.9000000000000001E-4</v>
      </c>
      <c r="E306">
        <v>0.115</v>
      </c>
      <c r="F306">
        <v>5.0000000000000001E-3</v>
      </c>
      <c r="J306">
        <v>0</v>
      </c>
      <c r="K306" t="s">
        <v>37</v>
      </c>
      <c r="N306" t="s">
        <v>25</v>
      </c>
      <c r="O306" t="s">
        <v>33</v>
      </c>
      <c r="Q306">
        <v>21.277000000000001</v>
      </c>
      <c r="R306">
        <v>7.0923333333333334</v>
      </c>
      <c r="S306">
        <v>0.51505688695231178</v>
      </c>
      <c r="T306">
        <v>3</v>
      </c>
      <c r="U306">
        <v>13.77</v>
      </c>
      <c r="V306">
        <v>0.12330000000000001</v>
      </c>
      <c r="W306">
        <f>V306/3</f>
        <v>4.1100000000000005E-2</v>
      </c>
      <c r="X306">
        <f>W306/13.77</f>
        <v>2.9847494553376912E-3</v>
      </c>
      <c r="Y306">
        <v>0.2031</v>
      </c>
      <c r="Z306">
        <f>Y306/$T306</f>
        <v>6.7699999999999996E-2</v>
      </c>
      <c r="AA306">
        <f>Z306/$U306</f>
        <v>4.9164851125635435E-3</v>
      </c>
      <c r="AB306">
        <v>0.128</v>
      </c>
      <c r="AC306">
        <f>AB306/$T306</f>
        <v>4.2666666666666665E-2</v>
      </c>
      <c r="AD306">
        <f>AC306/$U306</f>
        <v>3.0985233599612684E-3</v>
      </c>
    </row>
    <row r="307" spans="1:30" x14ac:dyDescent="0.2">
      <c r="A307" t="s">
        <v>17</v>
      </c>
      <c r="B307" s="2">
        <v>1.7000000000000001E-2</v>
      </c>
      <c r="C307">
        <v>10.25</v>
      </c>
      <c r="D307">
        <v>2.0039999999999999E-2</v>
      </c>
      <c r="E307">
        <v>12.028</v>
      </c>
      <c r="F307">
        <v>0.01</v>
      </c>
      <c r="J307">
        <v>1.7000000000000001E-2</v>
      </c>
      <c r="K307" t="s">
        <v>37</v>
      </c>
      <c r="N307" t="s">
        <v>24</v>
      </c>
      <c r="O307" t="s">
        <v>32</v>
      </c>
      <c r="Q307">
        <v>11.867999999999999</v>
      </c>
      <c r="R307">
        <v>5.9339999999999993</v>
      </c>
      <c r="S307">
        <v>0.47396166134185297</v>
      </c>
      <c r="T307">
        <v>5</v>
      </c>
      <c r="U307">
        <v>11.08</v>
      </c>
      <c r="V307">
        <v>0.18790000000000001</v>
      </c>
      <c r="W307">
        <f>V307/5</f>
        <v>3.7580000000000002E-2</v>
      </c>
      <c r="X307">
        <f>W307/11.01</f>
        <v>3.413260672116258E-3</v>
      </c>
      <c r="Y307">
        <v>0.32600000000000001</v>
      </c>
      <c r="Z307">
        <f>Y307/$T307</f>
        <v>6.5200000000000008E-2</v>
      </c>
      <c r="AA307">
        <f>Z307/$U307</f>
        <v>5.8844765342960298E-3</v>
      </c>
      <c r="AB307">
        <v>0.23169999999999999</v>
      </c>
      <c r="AC307">
        <f>AB307/$T307</f>
        <v>4.6339999999999999E-2</v>
      </c>
      <c r="AD307">
        <f>AC307/$U307</f>
        <v>4.1823104693140796E-3</v>
      </c>
    </row>
    <row r="308" spans="1:30" x14ac:dyDescent="0.2">
      <c r="A308" t="s">
        <v>17</v>
      </c>
      <c r="B308" s="2">
        <v>0</v>
      </c>
      <c r="C308">
        <v>0.09</v>
      </c>
      <c r="D308">
        <v>5.9999999999999995E-4</v>
      </c>
      <c r="E308">
        <v>0.35799999999999998</v>
      </c>
      <c r="F308">
        <v>5.0000000000000001E-3</v>
      </c>
      <c r="J308">
        <v>0</v>
      </c>
      <c r="K308" t="s">
        <v>37</v>
      </c>
      <c r="N308" t="s">
        <v>22</v>
      </c>
      <c r="O308" t="s">
        <v>33</v>
      </c>
      <c r="Q308">
        <v>19.932000000000002</v>
      </c>
      <c r="R308">
        <v>6.644000000000001</v>
      </c>
      <c r="S308">
        <v>0.6644000000000001</v>
      </c>
    </row>
    <row r="309" spans="1:30" x14ac:dyDescent="0.2">
      <c r="A309" t="s">
        <v>17</v>
      </c>
      <c r="B309" s="2">
        <v>1.2E-2</v>
      </c>
      <c r="C309">
        <v>7.38</v>
      </c>
      <c r="D309">
        <v>2.5729999999999999E-2</v>
      </c>
      <c r="E309">
        <v>15.438000000000001</v>
      </c>
      <c r="F309">
        <v>3.0000000000000001E-3</v>
      </c>
      <c r="J309">
        <v>1.2E-2</v>
      </c>
      <c r="K309" t="s">
        <v>37</v>
      </c>
      <c r="N309" t="s">
        <v>23</v>
      </c>
      <c r="O309" t="s">
        <v>33</v>
      </c>
      <c r="Q309">
        <v>11.712999999999999</v>
      </c>
      <c r="R309">
        <v>3.9043333333333332</v>
      </c>
      <c r="S309">
        <v>0.3904333333333333</v>
      </c>
      <c r="T309">
        <v>3</v>
      </c>
      <c r="U309">
        <v>10</v>
      </c>
      <c r="V309">
        <v>7.1099999999999997E-2</v>
      </c>
      <c r="W309">
        <f>V309/3</f>
        <v>2.3699999999999999E-2</v>
      </c>
      <c r="X309">
        <f>W309/10</f>
        <v>2.3699999999999997E-3</v>
      </c>
      <c r="Y309">
        <v>0.1193</v>
      </c>
      <c r="Z309">
        <f>Y309/$T309</f>
        <v>3.9766666666666665E-2</v>
      </c>
      <c r="AA309">
        <f>Z309/$U309</f>
        <v>3.9766666666666665E-3</v>
      </c>
      <c r="AB309">
        <v>8.4500000000000006E-2</v>
      </c>
      <c r="AC309">
        <f>AB309/$T309</f>
        <v>2.816666666666667E-2</v>
      </c>
      <c r="AD309">
        <f>AC309/$U309</f>
        <v>2.816666666666667E-3</v>
      </c>
    </row>
    <row r="310" spans="1:30" x14ac:dyDescent="0.2">
      <c r="A310" t="s">
        <v>17</v>
      </c>
      <c r="B310" s="2">
        <v>0</v>
      </c>
      <c r="C310">
        <v>0.23</v>
      </c>
      <c r="D310">
        <v>1.25E-3</v>
      </c>
      <c r="E310">
        <v>0.751</v>
      </c>
      <c r="F310">
        <v>5.0000000000000001E-3</v>
      </c>
      <c r="J310">
        <v>0</v>
      </c>
      <c r="K310" t="s">
        <v>37</v>
      </c>
      <c r="N310" t="s">
        <v>24</v>
      </c>
      <c r="O310" t="s">
        <v>33</v>
      </c>
      <c r="Q310">
        <v>19.166999999999998</v>
      </c>
      <c r="R310">
        <v>6.3889999999999993</v>
      </c>
      <c r="S310">
        <v>0.51030351437699673</v>
      </c>
      <c r="T310">
        <v>3</v>
      </c>
      <c r="U310">
        <v>12.52</v>
      </c>
      <c r="V310">
        <v>0.11559999999999999</v>
      </c>
      <c r="W310">
        <f>V310/3</f>
        <v>3.8533333333333329E-2</v>
      </c>
      <c r="X310">
        <f>W310/12.52</f>
        <v>3.0777422790202341E-3</v>
      </c>
      <c r="Y310">
        <v>0.20380000000000001</v>
      </c>
      <c r="Z310">
        <f>Y310/$T310</f>
        <v>6.7933333333333332E-2</v>
      </c>
      <c r="AA310">
        <f>Z310/$U310</f>
        <v>5.4259850905218317E-3</v>
      </c>
      <c r="AB310">
        <v>0.14599999999999999</v>
      </c>
      <c r="AC310">
        <f>AB310/$T310</f>
        <v>4.8666666666666664E-2</v>
      </c>
      <c r="AD310">
        <f>AC310/$U310</f>
        <v>3.8871139510117145E-3</v>
      </c>
    </row>
    <row r="311" spans="1:30" x14ac:dyDescent="0.2">
      <c r="N311" t="s">
        <v>56</v>
      </c>
      <c r="Q311">
        <f>SUM(Q307:Q308)</f>
        <v>31.8</v>
      </c>
      <c r="R311">
        <f>Q311/5</f>
        <v>6.36</v>
      </c>
      <c r="S311">
        <f>R311/11.08</f>
        <v>0.57400722021660655</v>
      </c>
    </row>
    <row r="315" spans="1:30" ht="17" thickBot="1" x14ac:dyDescent="0.25"/>
    <row r="316" spans="1:30" ht="35" thickBot="1" x14ac:dyDescent="0.25">
      <c r="N316" t="s">
        <v>39</v>
      </c>
      <c r="O316" s="3" t="s">
        <v>40</v>
      </c>
      <c r="P316" s="4">
        <v>0.14829999999999999</v>
      </c>
      <c r="Q316" s="4">
        <v>1</v>
      </c>
      <c r="R316">
        <f>P316/Q316</f>
        <v>0.14829999999999999</v>
      </c>
    </row>
    <row r="317" spans="1:30" ht="33" thickBot="1" x14ac:dyDescent="0.25">
      <c r="N317" t="s">
        <v>39</v>
      </c>
      <c r="O317" s="5" t="s">
        <v>41</v>
      </c>
      <c r="P317" s="6">
        <v>0.2329</v>
      </c>
      <c r="Q317" s="6">
        <v>1</v>
      </c>
      <c r="R317">
        <f t="shared" ref="R317:R318" si="13">P317/Q317</f>
        <v>0.2329</v>
      </c>
    </row>
    <row r="318" spans="1:30" ht="17" thickBot="1" x14ac:dyDescent="0.25">
      <c r="N318" t="s">
        <v>39</v>
      </c>
      <c r="O318" s="5" t="s">
        <v>42</v>
      </c>
      <c r="P318" s="6">
        <v>0.70730000000000004</v>
      </c>
      <c r="Q318" s="6">
        <v>3</v>
      </c>
      <c r="R318">
        <f t="shared" si="13"/>
        <v>0.23576666666666668</v>
      </c>
    </row>
    <row r="319" spans="1:30" x14ac:dyDescent="0.2">
      <c r="P319" s="7"/>
      <c r="Q319" s="7"/>
    </row>
  </sheetData>
  <mergeCells count="3">
    <mergeCell ref="V294:X294"/>
    <mergeCell ref="Y294:AA294"/>
    <mergeCell ref="AB294:AD29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03F0-B707-AC49-A53F-293C42931DBA}">
  <dimension ref="A1:P147"/>
  <sheetViews>
    <sheetView topLeftCell="A116" workbookViewId="0">
      <selection activeCell="O147" activeCellId="3" sqref="O141:O142 O145 O146 O147"/>
    </sheetView>
  </sheetViews>
  <sheetFormatPr baseColWidth="10" defaultRowHeight="16" x14ac:dyDescent="0.2"/>
  <cols>
    <col min="1" max="1" width="5" bestFit="1" customWidth="1"/>
    <col min="2" max="2" width="9.5" bestFit="1" customWidth="1"/>
    <col min="3" max="3" width="11.6640625" customWidth="1"/>
    <col min="4" max="4" width="11.5" customWidth="1"/>
    <col min="5" max="7" width="11.33203125" customWidth="1"/>
    <col min="8" max="8" width="9.5" customWidth="1"/>
  </cols>
  <sheetData>
    <row r="1" spans="1:14" x14ac:dyDescent="0.2">
      <c r="A1" t="s">
        <v>0</v>
      </c>
      <c r="B1" t="s">
        <v>1</v>
      </c>
      <c r="C1" t="s">
        <v>50</v>
      </c>
    </row>
    <row r="3" spans="1:14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5" spans="1:14" x14ac:dyDescent="0.2">
      <c r="A5" t="s">
        <v>3</v>
      </c>
      <c r="B5" t="s">
        <v>9</v>
      </c>
      <c r="D5" t="s">
        <v>10</v>
      </c>
      <c r="F5" t="s">
        <v>11</v>
      </c>
      <c r="G5" t="s">
        <v>12</v>
      </c>
      <c r="H5" t="s">
        <v>13</v>
      </c>
    </row>
    <row r="6" spans="1:14" x14ac:dyDescent="0.2">
      <c r="B6" t="s">
        <v>14</v>
      </c>
      <c r="C6" t="s">
        <v>15</v>
      </c>
      <c r="D6" t="s">
        <v>14</v>
      </c>
      <c r="E6" t="s">
        <v>15</v>
      </c>
      <c r="H6" t="s">
        <v>16</v>
      </c>
    </row>
    <row r="8" spans="1:14" x14ac:dyDescent="0.2">
      <c r="B8">
        <v>1</v>
      </c>
      <c r="C8" s="1">
        <v>1.1E+16</v>
      </c>
    </row>
    <row r="9" spans="1:14" x14ac:dyDescent="0.2">
      <c r="I9" t="s">
        <v>19</v>
      </c>
      <c r="J9" t="s">
        <v>20</v>
      </c>
      <c r="K9" t="s">
        <v>26</v>
      </c>
      <c r="L9" t="s">
        <v>27</v>
      </c>
      <c r="M9" t="s">
        <v>34</v>
      </c>
      <c r="N9" t="s">
        <v>35</v>
      </c>
    </row>
    <row r="10" spans="1:14" x14ac:dyDescent="0.2">
      <c r="B10">
        <v>2.145</v>
      </c>
      <c r="C10">
        <v>1287.24</v>
      </c>
      <c r="D10">
        <v>9.7599999999999996E-3</v>
      </c>
      <c r="E10">
        <v>5.859</v>
      </c>
      <c r="F10">
        <v>0.11600000000000001</v>
      </c>
      <c r="G10">
        <v>1.214</v>
      </c>
      <c r="H10">
        <v>100</v>
      </c>
      <c r="I10">
        <v>2.14</v>
      </c>
      <c r="J10" t="s">
        <v>24</v>
      </c>
      <c r="K10" t="s">
        <v>32</v>
      </c>
      <c r="L10">
        <v>2</v>
      </c>
      <c r="M10">
        <f>G10</f>
        <v>1.214</v>
      </c>
      <c r="N10">
        <f>M10/L10</f>
        <v>0.60699999999999998</v>
      </c>
    </row>
    <row r="11" spans="1:14" x14ac:dyDescent="0.2">
      <c r="A11" t="s">
        <v>17</v>
      </c>
      <c r="B11">
        <v>0</v>
      </c>
      <c r="C11">
        <v>0.19</v>
      </c>
      <c r="D11">
        <v>1.06E-3</v>
      </c>
      <c r="E11">
        <v>0.63600000000000001</v>
      </c>
      <c r="F11">
        <v>7.0000000000000001E-3</v>
      </c>
    </row>
    <row r="13" spans="1:14" x14ac:dyDescent="0.2">
      <c r="B13">
        <v>2.1309999999999998</v>
      </c>
      <c r="C13">
        <v>1278.92</v>
      </c>
      <c r="D13">
        <v>1.074E-2</v>
      </c>
      <c r="E13">
        <v>6.4470000000000001</v>
      </c>
      <c r="F13">
        <v>0.25</v>
      </c>
      <c r="G13">
        <v>2.88</v>
      </c>
      <c r="H13">
        <v>100</v>
      </c>
      <c r="I13">
        <v>2.14</v>
      </c>
      <c r="J13" t="s">
        <v>24</v>
      </c>
      <c r="K13" t="s">
        <v>32</v>
      </c>
      <c r="L13">
        <v>2</v>
      </c>
      <c r="M13">
        <f>G13</f>
        <v>2.88</v>
      </c>
      <c r="N13">
        <f>M13/L13</f>
        <v>1.44</v>
      </c>
    </row>
    <row r="14" spans="1:14" x14ac:dyDescent="0.2">
      <c r="A14" t="s">
        <v>17</v>
      </c>
      <c r="B14">
        <v>0</v>
      </c>
      <c r="C14">
        <v>0.11</v>
      </c>
      <c r="D14">
        <v>8.4000000000000003E-4</v>
      </c>
      <c r="E14">
        <v>0.50700000000000001</v>
      </c>
      <c r="F14">
        <v>8.9999999999999993E-3</v>
      </c>
    </row>
    <row r="16" spans="1:14" x14ac:dyDescent="0.2">
      <c r="B16">
        <v>2.1179999999999999</v>
      </c>
      <c r="C16">
        <v>1271.08</v>
      </c>
      <c r="D16">
        <v>1.252E-2</v>
      </c>
      <c r="E16">
        <v>7.5110000000000001</v>
      </c>
      <c r="F16">
        <v>0.24</v>
      </c>
      <c r="G16">
        <v>3.2109999999999999</v>
      </c>
      <c r="H16">
        <v>100</v>
      </c>
      <c r="I16">
        <v>2.14</v>
      </c>
      <c r="J16" t="s">
        <v>24</v>
      </c>
      <c r="K16" t="s">
        <v>32</v>
      </c>
      <c r="L16">
        <v>2</v>
      </c>
      <c r="M16">
        <f>G16</f>
        <v>3.2109999999999999</v>
      </c>
      <c r="N16">
        <f>M16/L16</f>
        <v>1.6054999999999999</v>
      </c>
    </row>
    <row r="17" spans="1:16" x14ac:dyDescent="0.2">
      <c r="A17" t="s">
        <v>17</v>
      </c>
      <c r="B17">
        <v>0</v>
      </c>
      <c r="C17">
        <v>0.13</v>
      </c>
      <c r="D17">
        <v>1.14E-3</v>
      </c>
      <c r="E17">
        <v>0.68400000000000005</v>
      </c>
      <c r="F17">
        <v>0.01</v>
      </c>
    </row>
    <row r="19" spans="1:16" x14ac:dyDescent="0.2">
      <c r="B19">
        <v>2.1059999999999999</v>
      </c>
      <c r="C19">
        <v>1263.76</v>
      </c>
      <c r="D19">
        <v>7.6899999999999998E-3</v>
      </c>
      <c r="E19">
        <v>4.6120000000000001</v>
      </c>
      <c r="F19">
        <v>0.17599999999999999</v>
      </c>
      <c r="G19">
        <v>1.446</v>
      </c>
      <c r="H19">
        <v>100</v>
      </c>
      <c r="I19">
        <v>2.14</v>
      </c>
      <c r="J19" t="s">
        <v>24</v>
      </c>
      <c r="K19" t="s">
        <v>32</v>
      </c>
      <c r="L19">
        <v>2</v>
      </c>
      <c r="M19">
        <f>G19</f>
        <v>1.446</v>
      </c>
      <c r="N19">
        <f>M19/L19</f>
        <v>0.72299999999999998</v>
      </c>
    </row>
    <row r="20" spans="1:16" x14ac:dyDescent="0.2">
      <c r="A20" t="s">
        <v>17</v>
      </c>
      <c r="B20">
        <v>0</v>
      </c>
      <c r="C20">
        <v>0.12</v>
      </c>
      <c r="D20">
        <v>1.1199999999999999E-3</v>
      </c>
      <c r="E20">
        <v>0.67100000000000004</v>
      </c>
      <c r="F20">
        <v>1.7000000000000001E-2</v>
      </c>
    </row>
    <row r="21" spans="1:16" x14ac:dyDescent="0.2">
      <c r="P21" t="s">
        <v>52</v>
      </c>
    </row>
    <row r="22" spans="1:16" x14ac:dyDescent="0.2">
      <c r="B22">
        <v>2.0960000000000001</v>
      </c>
      <c r="C22">
        <v>1257.93</v>
      </c>
      <c r="D22">
        <v>3.1140000000000001E-2</v>
      </c>
      <c r="E22">
        <v>18.687999999999999</v>
      </c>
      <c r="F22">
        <v>0.16800000000000001</v>
      </c>
      <c r="G22">
        <v>5.5860000000000003</v>
      </c>
      <c r="H22">
        <v>100</v>
      </c>
      <c r="I22">
        <v>2.14</v>
      </c>
      <c r="J22" t="s">
        <v>24</v>
      </c>
      <c r="K22" t="s">
        <v>32</v>
      </c>
      <c r="L22">
        <v>2</v>
      </c>
      <c r="M22">
        <f>G22</f>
        <v>5.5860000000000003</v>
      </c>
      <c r="N22">
        <f>M22/L22</f>
        <v>2.7930000000000001</v>
      </c>
      <c r="P22">
        <f>SUM(M10, M13, M16, M19, M22)</f>
        <v>14.337</v>
      </c>
    </row>
    <row r="23" spans="1:16" x14ac:dyDescent="0.2">
      <c r="A23" t="s">
        <v>17</v>
      </c>
      <c r="B23">
        <v>1E-3</v>
      </c>
      <c r="C23">
        <v>0.8</v>
      </c>
      <c r="D23">
        <v>1.6800000000000001E-3</v>
      </c>
      <c r="E23">
        <v>1.0109999999999999</v>
      </c>
      <c r="F23">
        <v>1.0999999999999999E-2</v>
      </c>
    </row>
    <row r="25" spans="1:16" x14ac:dyDescent="0.2">
      <c r="B25">
        <v>1.907</v>
      </c>
      <c r="C25">
        <v>1144.48</v>
      </c>
      <c r="D25">
        <v>4.7000000000000002E-3</v>
      </c>
      <c r="E25">
        <v>2.82</v>
      </c>
      <c r="F25">
        <v>0.377</v>
      </c>
      <c r="G25">
        <v>1.895</v>
      </c>
      <c r="H25">
        <v>100</v>
      </c>
      <c r="I25">
        <v>1.91</v>
      </c>
      <c r="J25" t="s">
        <v>25</v>
      </c>
      <c r="K25" t="s">
        <v>33</v>
      </c>
      <c r="L25">
        <v>3</v>
      </c>
      <c r="M25">
        <f>G25</f>
        <v>1.895</v>
      </c>
      <c r="N25">
        <f>M25/L25</f>
        <v>0.63166666666666671</v>
      </c>
    </row>
    <row r="26" spans="1:16" x14ac:dyDescent="0.2">
      <c r="A26" t="s">
        <v>17</v>
      </c>
      <c r="B26">
        <v>0</v>
      </c>
      <c r="C26">
        <v>0.03</v>
      </c>
      <c r="D26">
        <v>2.0000000000000001E-4</v>
      </c>
      <c r="E26">
        <v>0.12</v>
      </c>
      <c r="F26">
        <v>8.9999999999999993E-3</v>
      </c>
    </row>
    <row r="28" spans="1:16" x14ac:dyDescent="0.2">
      <c r="B28">
        <v>1.895</v>
      </c>
      <c r="C28">
        <v>1136.9000000000001</v>
      </c>
      <c r="D28">
        <v>1.2E-2</v>
      </c>
      <c r="E28">
        <v>7.1980000000000004</v>
      </c>
      <c r="F28">
        <v>0.32</v>
      </c>
      <c r="G28">
        <v>4.1150000000000002</v>
      </c>
      <c r="H28">
        <v>100</v>
      </c>
      <c r="I28">
        <v>1.91</v>
      </c>
      <c r="J28" t="s">
        <v>25</v>
      </c>
      <c r="K28" t="s">
        <v>33</v>
      </c>
      <c r="L28">
        <v>3</v>
      </c>
      <c r="M28">
        <f>G28</f>
        <v>4.1150000000000002</v>
      </c>
      <c r="N28">
        <f>M28/L28</f>
        <v>1.3716666666666668</v>
      </c>
    </row>
    <row r="29" spans="1:16" x14ac:dyDescent="0.2">
      <c r="A29" t="s">
        <v>17</v>
      </c>
      <c r="B29">
        <v>0</v>
      </c>
      <c r="C29">
        <v>0.08</v>
      </c>
      <c r="D29">
        <v>5.5000000000000003E-4</v>
      </c>
      <c r="E29">
        <v>0.33</v>
      </c>
      <c r="F29">
        <v>6.0000000000000001E-3</v>
      </c>
    </row>
    <row r="31" spans="1:16" x14ac:dyDescent="0.2">
      <c r="B31">
        <v>1.88</v>
      </c>
      <c r="C31">
        <v>1128.19</v>
      </c>
      <c r="D31">
        <v>9.2499999999999995E-3</v>
      </c>
      <c r="E31">
        <v>5.55</v>
      </c>
      <c r="F31">
        <v>0.92</v>
      </c>
      <c r="G31">
        <v>9.11</v>
      </c>
      <c r="H31">
        <v>100</v>
      </c>
      <c r="I31">
        <v>1.91</v>
      </c>
      <c r="J31" t="s">
        <v>25</v>
      </c>
      <c r="K31" t="s">
        <v>33</v>
      </c>
      <c r="L31">
        <v>3</v>
      </c>
      <c r="M31">
        <f>G31</f>
        <v>9.11</v>
      </c>
      <c r="N31">
        <f>M31/L31</f>
        <v>3.0366666666666666</v>
      </c>
    </row>
    <row r="32" spans="1:16" x14ac:dyDescent="0.2">
      <c r="A32" t="s">
        <v>17</v>
      </c>
      <c r="B32">
        <v>0</v>
      </c>
      <c r="C32">
        <v>0.02</v>
      </c>
      <c r="D32">
        <v>1.4999999999999999E-4</v>
      </c>
      <c r="E32">
        <v>8.8999999999999996E-2</v>
      </c>
      <c r="F32">
        <v>7.0000000000000001E-3</v>
      </c>
    </row>
    <row r="34" spans="1:16" x14ac:dyDescent="0.2">
      <c r="B34">
        <v>1.8640000000000001</v>
      </c>
      <c r="C34">
        <v>1118.8399999999999</v>
      </c>
      <c r="D34">
        <v>7.6E-3</v>
      </c>
      <c r="E34">
        <v>4.5629999999999997</v>
      </c>
      <c r="F34">
        <v>0.45800000000000002</v>
      </c>
      <c r="G34">
        <v>3.7290000000000001</v>
      </c>
      <c r="H34">
        <v>100</v>
      </c>
      <c r="I34">
        <v>1.91</v>
      </c>
      <c r="J34" t="s">
        <v>25</v>
      </c>
      <c r="K34" t="s">
        <v>33</v>
      </c>
      <c r="L34">
        <v>3</v>
      </c>
      <c r="M34">
        <f>G34</f>
        <v>3.7290000000000001</v>
      </c>
      <c r="N34">
        <f>M34/L34</f>
        <v>1.2430000000000001</v>
      </c>
    </row>
    <row r="35" spans="1:16" x14ac:dyDescent="0.2">
      <c r="A35" t="s">
        <v>17</v>
      </c>
      <c r="B35">
        <v>0</v>
      </c>
      <c r="C35">
        <v>0.04</v>
      </c>
      <c r="D35">
        <v>2.3000000000000001E-4</v>
      </c>
      <c r="E35">
        <v>0.13800000000000001</v>
      </c>
      <c r="F35">
        <v>7.0000000000000001E-3</v>
      </c>
    </row>
    <row r="37" spans="1:16" x14ac:dyDescent="0.2">
      <c r="B37">
        <v>1.8520000000000001</v>
      </c>
      <c r="C37">
        <v>1111.21</v>
      </c>
      <c r="D37">
        <v>6.2399999999999999E-3</v>
      </c>
      <c r="E37">
        <v>3.7450000000000001</v>
      </c>
      <c r="F37">
        <v>0.312</v>
      </c>
      <c r="G37">
        <v>2.0840000000000001</v>
      </c>
      <c r="H37">
        <v>100</v>
      </c>
      <c r="I37">
        <v>1.91</v>
      </c>
      <c r="J37" t="s">
        <v>25</v>
      </c>
      <c r="K37" t="s">
        <v>33</v>
      </c>
      <c r="L37">
        <v>3</v>
      </c>
      <c r="M37">
        <f>G37</f>
        <v>2.0840000000000001</v>
      </c>
      <c r="N37">
        <f>M37/L37</f>
        <v>0.69466666666666665</v>
      </c>
      <c r="P37">
        <f>SUM(M25, M28, M31, M34, M37)</f>
        <v>20.933</v>
      </c>
    </row>
    <row r="38" spans="1:16" x14ac:dyDescent="0.2">
      <c r="A38" t="s">
        <v>17</v>
      </c>
      <c r="B38">
        <v>0</v>
      </c>
      <c r="C38">
        <v>0.05</v>
      </c>
      <c r="D38">
        <v>2.5999999999999998E-4</v>
      </c>
      <c r="E38">
        <v>0.154</v>
      </c>
      <c r="F38">
        <v>8.0000000000000002E-3</v>
      </c>
    </row>
    <row r="40" spans="1:16" x14ac:dyDescent="0.2">
      <c r="B40">
        <v>1.782</v>
      </c>
      <c r="C40">
        <v>1069.24</v>
      </c>
      <c r="D40">
        <v>4.5500000000000002E-3</v>
      </c>
      <c r="E40">
        <v>2.7309999999999999</v>
      </c>
      <c r="F40">
        <v>1.9E-2</v>
      </c>
      <c r="G40">
        <v>9.5000000000000001E-2</v>
      </c>
      <c r="H40">
        <v>100</v>
      </c>
    </row>
    <row r="41" spans="1:16" x14ac:dyDescent="0.2">
      <c r="A41" t="s">
        <v>17</v>
      </c>
      <c r="B41">
        <v>1E-3</v>
      </c>
      <c r="C41">
        <v>0.63</v>
      </c>
      <c r="D41">
        <v>3.0300000000000001E-3</v>
      </c>
      <c r="E41">
        <v>1.8160000000000001</v>
      </c>
      <c r="F41">
        <v>8.9999999999999993E-3</v>
      </c>
    </row>
    <row r="43" spans="1:16" x14ac:dyDescent="0.2">
      <c r="B43">
        <v>1.6990000000000001</v>
      </c>
      <c r="C43">
        <v>1019.41</v>
      </c>
      <c r="D43">
        <v>1.308E-2</v>
      </c>
      <c r="E43">
        <v>7.8470000000000004</v>
      </c>
      <c r="F43">
        <v>0.02</v>
      </c>
      <c r="G43">
        <v>0.28000000000000003</v>
      </c>
      <c r="H43">
        <v>100</v>
      </c>
    </row>
    <row r="44" spans="1:16" x14ac:dyDescent="0.2">
      <c r="A44" t="s">
        <v>17</v>
      </c>
      <c r="B44">
        <v>2E-3</v>
      </c>
      <c r="C44">
        <v>1.04</v>
      </c>
      <c r="D44">
        <v>4.9399999999999999E-3</v>
      </c>
      <c r="E44">
        <v>2.9649999999999999</v>
      </c>
      <c r="F44">
        <v>5.0000000000000001E-3</v>
      </c>
    </row>
    <row r="46" spans="1:16" x14ac:dyDescent="0.2">
      <c r="B46">
        <v>1.601</v>
      </c>
      <c r="C46">
        <v>960.69</v>
      </c>
      <c r="D46">
        <v>1.677E-2</v>
      </c>
      <c r="E46">
        <v>10.061</v>
      </c>
      <c r="F46">
        <v>3.7999999999999999E-2</v>
      </c>
      <c r="G46">
        <v>0.69099999999999995</v>
      </c>
      <c r="H46">
        <v>100</v>
      </c>
    </row>
    <row r="47" spans="1:16" x14ac:dyDescent="0.2">
      <c r="A47" t="s">
        <v>17</v>
      </c>
      <c r="B47">
        <v>1E-3</v>
      </c>
      <c r="C47">
        <v>0.62</v>
      </c>
      <c r="D47">
        <v>3.0300000000000001E-3</v>
      </c>
      <c r="E47">
        <v>1.8180000000000001</v>
      </c>
      <c r="F47">
        <v>5.0000000000000001E-3</v>
      </c>
    </row>
    <row r="49" spans="1:16" x14ac:dyDescent="0.2">
      <c r="B49">
        <v>1.546</v>
      </c>
      <c r="C49">
        <v>927.69</v>
      </c>
      <c r="D49">
        <v>1.634E-2</v>
      </c>
      <c r="E49">
        <v>9.8070000000000004</v>
      </c>
      <c r="F49">
        <v>9.9000000000000005E-2</v>
      </c>
      <c r="G49">
        <v>1.7350000000000001</v>
      </c>
      <c r="H49">
        <v>100</v>
      </c>
      <c r="I49">
        <v>1.54</v>
      </c>
      <c r="J49" t="s">
        <v>24</v>
      </c>
      <c r="K49" t="s">
        <v>32</v>
      </c>
      <c r="L49">
        <v>2</v>
      </c>
      <c r="M49">
        <f>G49</f>
        <v>1.7350000000000001</v>
      </c>
      <c r="N49">
        <f>M49/L49</f>
        <v>0.86750000000000005</v>
      </c>
    </row>
    <row r="50" spans="1:16" x14ac:dyDescent="0.2">
      <c r="A50" t="s">
        <v>17</v>
      </c>
      <c r="B50">
        <v>1E-3</v>
      </c>
      <c r="C50">
        <v>0.34</v>
      </c>
      <c r="D50">
        <v>1.6900000000000001E-3</v>
      </c>
      <c r="E50">
        <v>1.0149999999999999</v>
      </c>
      <c r="F50">
        <v>5.0000000000000001E-3</v>
      </c>
    </row>
    <row r="52" spans="1:16" x14ac:dyDescent="0.2">
      <c r="B52">
        <v>1.5329999999999999</v>
      </c>
      <c r="C52">
        <v>920.08</v>
      </c>
      <c r="D52">
        <v>6.1599999999999997E-3</v>
      </c>
      <c r="E52">
        <v>3.6960000000000002</v>
      </c>
      <c r="F52">
        <v>0.23</v>
      </c>
      <c r="G52">
        <v>1.518</v>
      </c>
      <c r="H52">
        <v>100</v>
      </c>
      <c r="I52">
        <v>1.54</v>
      </c>
      <c r="J52" t="s">
        <v>24</v>
      </c>
      <c r="K52" t="s">
        <v>32</v>
      </c>
      <c r="L52">
        <v>2</v>
      </c>
      <c r="M52">
        <f>G52</f>
        <v>1.518</v>
      </c>
      <c r="N52">
        <f>M52/L52</f>
        <v>0.75900000000000001</v>
      </c>
    </row>
    <row r="53" spans="1:16" x14ac:dyDescent="0.2">
      <c r="A53" t="s">
        <v>17</v>
      </c>
      <c r="B53">
        <v>0</v>
      </c>
      <c r="C53">
        <v>7.0000000000000007E-2</v>
      </c>
      <c r="D53">
        <v>4.6999999999999999E-4</v>
      </c>
      <c r="E53">
        <v>0.28100000000000003</v>
      </c>
      <c r="F53">
        <v>8.9999999999999993E-3</v>
      </c>
    </row>
    <row r="55" spans="1:16" x14ac:dyDescent="0.2">
      <c r="B55">
        <v>1.5209999999999999</v>
      </c>
      <c r="C55">
        <v>912.79</v>
      </c>
      <c r="D55">
        <v>7.2100000000000003E-3</v>
      </c>
      <c r="E55">
        <v>4.3280000000000003</v>
      </c>
      <c r="F55">
        <v>0.29699999999999999</v>
      </c>
      <c r="G55">
        <v>2.2949999999999999</v>
      </c>
      <c r="H55">
        <v>100</v>
      </c>
      <c r="I55">
        <v>1.54</v>
      </c>
      <c r="J55" t="s">
        <v>24</v>
      </c>
      <c r="K55" t="s">
        <v>32</v>
      </c>
      <c r="L55">
        <v>2</v>
      </c>
      <c r="M55">
        <f>G55</f>
        <v>2.2949999999999999</v>
      </c>
      <c r="N55">
        <f>M55/L55</f>
        <v>1.1475</v>
      </c>
    </row>
    <row r="56" spans="1:16" x14ac:dyDescent="0.2">
      <c r="A56" t="s">
        <v>17</v>
      </c>
      <c r="B56">
        <v>0</v>
      </c>
      <c r="C56">
        <v>0.06</v>
      </c>
      <c r="D56">
        <v>3.8000000000000002E-4</v>
      </c>
      <c r="E56">
        <v>0.23100000000000001</v>
      </c>
      <c r="F56">
        <v>7.0000000000000001E-3</v>
      </c>
    </row>
    <row r="58" spans="1:16" x14ac:dyDescent="0.2">
      <c r="B58">
        <v>1.5089999999999999</v>
      </c>
      <c r="C58">
        <v>905.6</v>
      </c>
      <c r="D58">
        <v>8.5000000000000006E-3</v>
      </c>
      <c r="E58">
        <v>5.0979999999999999</v>
      </c>
      <c r="F58">
        <v>0.22</v>
      </c>
      <c r="G58">
        <v>1.9990000000000001</v>
      </c>
      <c r="H58">
        <v>100</v>
      </c>
      <c r="I58">
        <v>1.54</v>
      </c>
      <c r="J58" t="s">
        <v>24</v>
      </c>
      <c r="K58" t="s">
        <v>32</v>
      </c>
      <c r="L58">
        <v>2</v>
      </c>
      <c r="M58">
        <f>G58</f>
        <v>1.9990000000000001</v>
      </c>
      <c r="N58">
        <f>M58/L58</f>
        <v>0.99950000000000006</v>
      </c>
    </row>
    <row r="59" spans="1:16" x14ac:dyDescent="0.2">
      <c r="A59" t="s">
        <v>17</v>
      </c>
      <c r="B59">
        <v>0</v>
      </c>
      <c r="C59">
        <v>0.1</v>
      </c>
      <c r="D59">
        <v>7.3999999999999999E-4</v>
      </c>
      <c r="E59">
        <v>0.44600000000000001</v>
      </c>
      <c r="F59">
        <v>8.9999999999999993E-3</v>
      </c>
    </row>
    <row r="61" spans="1:16" x14ac:dyDescent="0.2">
      <c r="B61">
        <v>1.496</v>
      </c>
      <c r="C61">
        <v>898</v>
      </c>
      <c r="D61">
        <v>1.372E-2</v>
      </c>
      <c r="E61">
        <v>8.234</v>
      </c>
      <c r="F61">
        <v>0.13400000000000001</v>
      </c>
      <c r="G61">
        <v>1.974</v>
      </c>
      <c r="H61">
        <v>100</v>
      </c>
      <c r="I61">
        <v>1.54</v>
      </c>
      <c r="J61" t="s">
        <v>24</v>
      </c>
      <c r="K61" t="s">
        <v>32</v>
      </c>
      <c r="L61">
        <v>2</v>
      </c>
      <c r="M61">
        <f>G61</f>
        <v>1.974</v>
      </c>
      <c r="N61">
        <f>M61/L61</f>
        <v>0.98699999999999999</v>
      </c>
    </row>
    <row r="62" spans="1:16" x14ac:dyDescent="0.2">
      <c r="A62" t="s">
        <v>17</v>
      </c>
      <c r="B62">
        <v>0</v>
      </c>
      <c r="C62">
        <v>0.24</v>
      </c>
      <c r="D62">
        <v>1.92E-3</v>
      </c>
      <c r="E62">
        <v>1.149</v>
      </c>
      <c r="F62">
        <v>6.0000000000000001E-3</v>
      </c>
    </row>
    <row r="64" spans="1:16" x14ac:dyDescent="0.2">
      <c r="B64">
        <v>1.4830000000000001</v>
      </c>
      <c r="C64">
        <v>890.11</v>
      </c>
      <c r="D64">
        <v>5.96E-3</v>
      </c>
      <c r="E64">
        <v>3.5750000000000002</v>
      </c>
      <c r="F64">
        <v>5.2999999999999999E-2</v>
      </c>
      <c r="G64">
        <v>0.33900000000000002</v>
      </c>
      <c r="H64">
        <v>100</v>
      </c>
      <c r="I64">
        <v>1.54</v>
      </c>
      <c r="J64" t="s">
        <v>24</v>
      </c>
      <c r="K64" t="s">
        <v>32</v>
      </c>
      <c r="L64">
        <v>2</v>
      </c>
      <c r="M64">
        <f>G64</f>
        <v>0.33900000000000002</v>
      </c>
      <c r="N64">
        <f>M64/L64</f>
        <v>0.16950000000000001</v>
      </c>
      <c r="P64">
        <f>SUM(M49, M52, M55, M58, M61, M64)</f>
        <v>9.8600000000000012</v>
      </c>
    </row>
    <row r="65" spans="1:16" x14ac:dyDescent="0.2">
      <c r="A65" t="s">
        <v>17</v>
      </c>
      <c r="B65">
        <v>0</v>
      </c>
      <c r="C65">
        <v>0.28999999999999998</v>
      </c>
      <c r="D65">
        <v>1.91E-3</v>
      </c>
      <c r="E65">
        <v>1.1479999999999999</v>
      </c>
      <c r="F65">
        <v>8.9999999999999993E-3</v>
      </c>
    </row>
    <row r="67" spans="1:16" x14ac:dyDescent="0.2">
      <c r="B67">
        <v>1.4650000000000001</v>
      </c>
      <c r="C67">
        <v>879.4</v>
      </c>
      <c r="D67">
        <v>1.1440000000000001E-2</v>
      </c>
      <c r="E67">
        <v>6.8650000000000002</v>
      </c>
      <c r="F67">
        <v>0.22700000000000001</v>
      </c>
      <c r="G67">
        <v>2.78</v>
      </c>
      <c r="H67">
        <v>100</v>
      </c>
      <c r="I67">
        <v>1.47</v>
      </c>
      <c r="J67" t="s">
        <v>22</v>
      </c>
      <c r="K67" t="s">
        <v>33</v>
      </c>
      <c r="L67">
        <v>3</v>
      </c>
      <c r="M67">
        <f>G67</f>
        <v>2.78</v>
      </c>
      <c r="N67">
        <f>M67/L67</f>
        <v>0.92666666666666664</v>
      </c>
    </row>
    <row r="68" spans="1:16" x14ac:dyDescent="0.2">
      <c r="A68" t="s">
        <v>17</v>
      </c>
      <c r="B68">
        <v>0</v>
      </c>
      <c r="C68">
        <v>0.11</v>
      </c>
      <c r="D68">
        <v>6.6E-4</v>
      </c>
      <c r="E68">
        <v>0.39600000000000002</v>
      </c>
      <c r="F68">
        <v>6.0000000000000001E-3</v>
      </c>
    </row>
    <row r="70" spans="1:16" x14ac:dyDescent="0.2">
      <c r="B70">
        <v>1.4510000000000001</v>
      </c>
      <c r="C70">
        <v>870.82</v>
      </c>
      <c r="D70">
        <v>9.3699999999999999E-3</v>
      </c>
      <c r="E70">
        <v>5.6239999999999997</v>
      </c>
      <c r="F70">
        <v>0.65300000000000002</v>
      </c>
      <c r="G70">
        <v>6.5540000000000003</v>
      </c>
      <c r="H70">
        <v>100</v>
      </c>
      <c r="I70">
        <v>1.47</v>
      </c>
      <c r="J70" t="s">
        <v>22</v>
      </c>
      <c r="K70" t="s">
        <v>33</v>
      </c>
      <c r="L70">
        <v>3</v>
      </c>
      <c r="M70">
        <f>G70</f>
        <v>6.5540000000000003</v>
      </c>
      <c r="N70">
        <f>M70/L70</f>
        <v>2.1846666666666668</v>
      </c>
    </row>
    <row r="71" spans="1:16" x14ac:dyDescent="0.2">
      <c r="A71" t="s">
        <v>17</v>
      </c>
      <c r="B71">
        <v>0</v>
      </c>
      <c r="C71">
        <v>0.03</v>
      </c>
      <c r="D71">
        <v>2.5000000000000001E-4</v>
      </c>
      <c r="E71">
        <v>0.14799999999999999</v>
      </c>
      <c r="F71">
        <v>7.0000000000000001E-3</v>
      </c>
    </row>
    <row r="73" spans="1:16" x14ac:dyDescent="0.2">
      <c r="B73">
        <v>1.4379999999999999</v>
      </c>
      <c r="C73">
        <v>862.82</v>
      </c>
      <c r="D73">
        <v>1.0189999999999999E-2</v>
      </c>
      <c r="E73">
        <v>6.1150000000000002</v>
      </c>
      <c r="F73">
        <v>0.69099999999999995</v>
      </c>
      <c r="G73">
        <v>7.54</v>
      </c>
      <c r="H73">
        <v>100</v>
      </c>
      <c r="I73">
        <v>1.47</v>
      </c>
      <c r="J73" t="s">
        <v>22</v>
      </c>
      <c r="K73" t="s">
        <v>33</v>
      </c>
      <c r="L73">
        <v>3</v>
      </c>
      <c r="M73">
        <f>G73</f>
        <v>7.54</v>
      </c>
      <c r="N73">
        <f>M73/L73</f>
        <v>2.5133333333333332</v>
      </c>
    </row>
    <row r="74" spans="1:16" x14ac:dyDescent="0.2">
      <c r="A74" t="s">
        <v>17</v>
      </c>
      <c r="B74">
        <v>0</v>
      </c>
      <c r="C74">
        <v>0.04</v>
      </c>
      <c r="D74">
        <v>2.9E-4</v>
      </c>
      <c r="E74">
        <v>0.17599999999999999</v>
      </c>
      <c r="F74">
        <v>8.9999999999999993E-3</v>
      </c>
    </row>
    <row r="76" spans="1:16" x14ac:dyDescent="0.2">
      <c r="B76">
        <v>1.4239999999999999</v>
      </c>
      <c r="C76">
        <v>854.67</v>
      </c>
      <c r="D76">
        <v>1.9189999999999999E-2</v>
      </c>
      <c r="E76">
        <v>11.518000000000001</v>
      </c>
      <c r="F76">
        <v>0.29599999999999999</v>
      </c>
      <c r="G76">
        <v>6.0880000000000001</v>
      </c>
      <c r="H76">
        <v>100</v>
      </c>
      <c r="I76">
        <v>1.47</v>
      </c>
      <c r="J76" t="s">
        <v>22</v>
      </c>
      <c r="K76" t="s">
        <v>33</v>
      </c>
      <c r="L76">
        <v>3</v>
      </c>
      <c r="M76">
        <f>G76</f>
        <v>6.0880000000000001</v>
      </c>
      <c r="N76">
        <f>M76/L76</f>
        <v>2.0293333333333332</v>
      </c>
      <c r="P76">
        <f>SUM(M67, M70, M73, M76)</f>
        <v>22.962</v>
      </c>
    </row>
    <row r="77" spans="1:16" x14ac:dyDescent="0.2">
      <c r="A77" t="s">
        <v>17</v>
      </c>
      <c r="B77">
        <v>0</v>
      </c>
      <c r="C77">
        <v>0.17</v>
      </c>
      <c r="D77">
        <v>6.8000000000000005E-4</v>
      </c>
      <c r="E77">
        <v>0.40699999999999997</v>
      </c>
      <c r="F77">
        <v>7.0000000000000001E-3</v>
      </c>
    </row>
    <row r="79" spans="1:16" x14ac:dyDescent="0.2">
      <c r="B79">
        <v>1.29</v>
      </c>
      <c r="C79">
        <v>773.93</v>
      </c>
      <c r="D79">
        <v>5.8659999999999997E-2</v>
      </c>
      <c r="E79">
        <v>35.200000000000003</v>
      </c>
      <c r="F79">
        <v>0.05</v>
      </c>
      <c r="G79">
        <v>3.1680000000000001</v>
      </c>
      <c r="H79">
        <v>100</v>
      </c>
    </row>
    <row r="80" spans="1:16" x14ac:dyDescent="0.2">
      <c r="A80" t="s">
        <v>17</v>
      </c>
      <c r="B80">
        <v>1E-3</v>
      </c>
      <c r="C80">
        <v>0.88</v>
      </c>
      <c r="D80">
        <v>4.5500000000000002E-3</v>
      </c>
      <c r="E80">
        <v>2.7320000000000002</v>
      </c>
      <c r="F80">
        <v>3.0000000000000001E-3</v>
      </c>
    </row>
    <row r="82" spans="1:14" x14ac:dyDescent="0.2">
      <c r="B82">
        <v>1.1890000000000001</v>
      </c>
      <c r="C82">
        <v>713.47</v>
      </c>
      <c r="D82">
        <v>8.5900000000000004E-3</v>
      </c>
      <c r="E82">
        <v>5.1550000000000002</v>
      </c>
      <c r="F82">
        <v>2.1000000000000001E-2</v>
      </c>
      <c r="G82">
        <v>0.191</v>
      </c>
      <c r="H82">
        <v>100</v>
      </c>
    </row>
    <row r="83" spans="1:14" x14ac:dyDescent="0.2">
      <c r="A83" t="s">
        <v>17</v>
      </c>
      <c r="B83">
        <v>1E-3</v>
      </c>
      <c r="C83">
        <v>0.83</v>
      </c>
      <c r="D83">
        <v>4.3400000000000001E-3</v>
      </c>
      <c r="E83">
        <v>2.605</v>
      </c>
      <c r="F83">
        <v>7.0000000000000001E-3</v>
      </c>
    </row>
    <row r="85" spans="1:14" x14ac:dyDescent="0.2">
      <c r="B85">
        <v>1.173</v>
      </c>
      <c r="C85">
        <v>703.7</v>
      </c>
      <c r="D85">
        <v>5.9199999999999999E-3</v>
      </c>
      <c r="E85">
        <v>3.5529999999999999</v>
      </c>
      <c r="F85">
        <v>0.13</v>
      </c>
      <c r="G85">
        <v>0.82199999999999995</v>
      </c>
      <c r="H85">
        <v>100</v>
      </c>
      <c r="I85">
        <v>1.17</v>
      </c>
      <c r="J85" t="s">
        <v>23</v>
      </c>
      <c r="K85" t="s">
        <v>33</v>
      </c>
      <c r="L85">
        <v>3</v>
      </c>
      <c r="M85">
        <f>G85</f>
        <v>0.82199999999999995</v>
      </c>
      <c r="N85">
        <f>M85/L85</f>
        <v>0.27399999999999997</v>
      </c>
    </row>
    <row r="86" spans="1:14" x14ac:dyDescent="0.2">
      <c r="A86" t="s">
        <v>17</v>
      </c>
      <c r="B86">
        <v>0</v>
      </c>
      <c r="C86">
        <v>0.11</v>
      </c>
      <c r="D86">
        <v>6.4999999999999997E-4</v>
      </c>
      <c r="E86">
        <v>0.39100000000000001</v>
      </c>
      <c r="F86">
        <v>8.0000000000000002E-3</v>
      </c>
    </row>
    <row r="88" spans="1:14" x14ac:dyDescent="0.2">
      <c r="B88">
        <v>1.1599999999999999</v>
      </c>
      <c r="C88">
        <v>696.39</v>
      </c>
      <c r="D88">
        <v>7.1500000000000001E-3</v>
      </c>
      <c r="E88">
        <v>4.2889999999999997</v>
      </c>
      <c r="F88">
        <v>0.28499999999999998</v>
      </c>
      <c r="G88">
        <v>2.1789999999999998</v>
      </c>
      <c r="H88">
        <v>100</v>
      </c>
      <c r="I88">
        <v>1.17</v>
      </c>
      <c r="J88" t="s">
        <v>23</v>
      </c>
      <c r="K88" t="s">
        <v>33</v>
      </c>
      <c r="L88">
        <v>3</v>
      </c>
      <c r="M88">
        <f>G88</f>
        <v>2.1789999999999998</v>
      </c>
      <c r="N88">
        <f>M88/L88</f>
        <v>0.72633333333333328</v>
      </c>
    </row>
    <row r="89" spans="1:14" x14ac:dyDescent="0.2">
      <c r="A89" t="s">
        <v>17</v>
      </c>
      <c r="B89">
        <v>0</v>
      </c>
      <c r="C89">
        <v>7.0000000000000007E-2</v>
      </c>
      <c r="D89">
        <v>4.6000000000000001E-4</v>
      </c>
      <c r="E89">
        <v>0.27400000000000002</v>
      </c>
      <c r="F89">
        <v>8.9999999999999993E-3</v>
      </c>
    </row>
    <row r="91" spans="1:14" x14ac:dyDescent="0.2">
      <c r="B91">
        <v>1.149</v>
      </c>
      <c r="C91">
        <v>689.46</v>
      </c>
      <c r="D91">
        <v>1.196E-2</v>
      </c>
      <c r="E91">
        <v>7.1749999999999998</v>
      </c>
      <c r="F91">
        <v>0.374</v>
      </c>
      <c r="G91">
        <v>4.7859999999999996</v>
      </c>
      <c r="H91">
        <v>100</v>
      </c>
      <c r="I91">
        <v>1.17</v>
      </c>
      <c r="J91" t="s">
        <v>23</v>
      </c>
      <c r="K91" t="s">
        <v>33</v>
      </c>
      <c r="L91">
        <v>3</v>
      </c>
      <c r="M91">
        <f>G91</f>
        <v>4.7859999999999996</v>
      </c>
      <c r="N91">
        <f>M91/L91</f>
        <v>1.5953333333333333</v>
      </c>
    </row>
    <row r="92" spans="1:14" x14ac:dyDescent="0.2">
      <c r="A92" t="s">
        <v>17</v>
      </c>
      <c r="B92">
        <v>0</v>
      </c>
      <c r="C92">
        <v>0.08</v>
      </c>
      <c r="D92">
        <v>6.8999999999999997E-4</v>
      </c>
      <c r="E92">
        <v>0.41399999999999998</v>
      </c>
      <c r="F92">
        <v>7.0000000000000001E-3</v>
      </c>
    </row>
    <row r="94" spans="1:14" x14ac:dyDescent="0.2">
      <c r="B94">
        <v>1.137</v>
      </c>
      <c r="C94">
        <v>682.51</v>
      </c>
      <c r="D94">
        <v>8.0800000000000004E-3</v>
      </c>
      <c r="E94">
        <v>4.8460000000000001</v>
      </c>
      <c r="F94">
        <v>0.27400000000000002</v>
      </c>
      <c r="G94">
        <v>2.3719999999999999</v>
      </c>
      <c r="H94">
        <v>100</v>
      </c>
      <c r="I94">
        <v>1.17</v>
      </c>
      <c r="J94" t="s">
        <v>23</v>
      </c>
      <c r="K94" t="s">
        <v>33</v>
      </c>
      <c r="L94">
        <v>3</v>
      </c>
      <c r="M94">
        <f>G94</f>
        <v>2.3719999999999999</v>
      </c>
      <c r="N94">
        <f>M94/L94</f>
        <v>0.79066666666666663</v>
      </c>
    </row>
    <row r="95" spans="1:14" x14ac:dyDescent="0.2">
      <c r="A95" t="s">
        <v>17</v>
      </c>
      <c r="B95">
        <v>0</v>
      </c>
      <c r="C95">
        <v>0.08</v>
      </c>
      <c r="D95">
        <v>5.6999999999999998E-4</v>
      </c>
      <c r="E95">
        <v>0.34399999999999997</v>
      </c>
      <c r="F95">
        <v>8.9999999999999993E-3</v>
      </c>
    </row>
    <row r="97" spans="1:16" x14ac:dyDescent="0.2">
      <c r="B97">
        <v>1.125</v>
      </c>
      <c r="C97">
        <v>675.23</v>
      </c>
      <c r="D97">
        <v>7.7499999999999999E-3</v>
      </c>
      <c r="E97">
        <v>4.6479999999999997</v>
      </c>
      <c r="F97">
        <v>0.104</v>
      </c>
      <c r="G97">
        <v>0.86399999999999999</v>
      </c>
      <c r="H97">
        <v>100</v>
      </c>
      <c r="I97">
        <v>1.17</v>
      </c>
      <c r="J97" t="s">
        <v>23</v>
      </c>
      <c r="K97" t="s">
        <v>33</v>
      </c>
      <c r="L97">
        <v>3</v>
      </c>
      <c r="M97">
        <f>G97</f>
        <v>0.86399999999999999</v>
      </c>
      <c r="N97">
        <f>M97/L97</f>
        <v>0.28799999999999998</v>
      </c>
      <c r="P97">
        <f>SUM(M85, M88, M91, M94, M97)</f>
        <v>11.023</v>
      </c>
    </row>
    <row r="98" spans="1:16" x14ac:dyDescent="0.2">
      <c r="A98" t="s">
        <v>17</v>
      </c>
      <c r="B98">
        <v>0</v>
      </c>
      <c r="C98">
        <v>0.17</v>
      </c>
      <c r="D98">
        <v>9.7000000000000005E-4</v>
      </c>
      <c r="E98">
        <v>0.57999999999999996</v>
      </c>
      <c r="F98">
        <v>7.0000000000000001E-3</v>
      </c>
    </row>
    <row r="100" spans="1:16" x14ac:dyDescent="0.2">
      <c r="B100">
        <v>1.0069999999999999</v>
      </c>
      <c r="C100">
        <v>604.27</v>
      </c>
      <c r="D100">
        <v>6.4920000000000005E-2</v>
      </c>
      <c r="E100">
        <v>38.957999999999998</v>
      </c>
      <c r="F100">
        <v>6.0999999999999999E-2</v>
      </c>
      <c r="G100">
        <v>4.2080000000000002</v>
      </c>
      <c r="H100">
        <v>100</v>
      </c>
    </row>
    <row r="101" spans="1:16" x14ac:dyDescent="0.2">
      <c r="A101" t="s">
        <v>17</v>
      </c>
      <c r="B101">
        <v>6.0000000000000001E-3</v>
      </c>
      <c r="C101">
        <v>3.85</v>
      </c>
      <c r="D101">
        <v>4.4650000000000002E-2</v>
      </c>
      <c r="E101">
        <v>26.794</v>
      </c>
      <c r="F101">
        <v>0.115</v>
      </c>
    </row>
    <row r="103" spans="1:16" x14ac:dyDescent="0.2">
      <c r="B103">
        <v>0.997</v>
      </c>
      <c r="C103">
        <v>598.21</v>
      </c>
      <c r="D103">
        <v>0.11731999999999999</v>
      </c>
      <c r="E103">
        <v>70.400000000000006</v>
      </c>
      <c r="F103">
        <v>0</v>
      </c>
      <c r="G103">
        <v>8.0000000000000002E-3</v>
      </c>
      <c r="H103">
        <v>100</v>
      </c>
    </row>
    <row r="104" spans="1:16" x14ac:dyDescent="0.2">
      <c r="A104" t="s">
        <v>17</v>
      </c>
      <c r="B104">
        <v>15.592000000000001</v>
      </c>
      <c r="C104">
        <v>9356.61</v>
      </c>
      <c r="D104">
        <v>59.465969999999999</v>
      </c>
      <c r="E104">
        <v>35684.521000000001</v>
      </c>
      <c r="F104">
        <v>0.11600000000000001</v>
      </c>
    </row>
    <row r="106" spans="1:16" x14ac:dyDescent="0.2">
      <c r="B106">
        <v>0.90800000000000003</v>
      </c>
      <c r="C106">
        <v>544.95000000000005</v>
      </c>
      <c r="D106">
        <v>9.1699999999999993E-3</v>
      </c>
      <c r="E106">
        <v>5.5030000000000001</v>
      </c>
      <c r="F106">
        <v>7.3999999999999996E-2</v>
      </c>
      <c r="G106">
        <v>0.72599999999999998</v>
      </c>
      <c r="H106">
        <v>100</v>
      </c>
      <c r="I106">
        <v>0.89</v>
      </c>
      <c r="J106" t="s">
        <v>24</v>
      </c>
      <c r="K106" t="s">
        <v>33</v>
      </c>
      <c r="L106">
        <v>3</v>
      </c>
      <c r="M106">
        <f>G106</f>
        <v>0.72599999999999998</v>
      </c>
      <c r="N106">
        <f>M106/L106</f>
        <v>0.24199999999999999</v>
      </c>
    </row>
    <row r="107" spans="1:16" x14ac:dyDescent="0.2">
      <c r="A107" t="s">
        <v>17</v>
      </c>
      <c r="B107">
        <v>0</v>
      </c>
      <c r="C107">
        <v>0.28000000000000003</v>
      </c>
      <c r="D107">
        <v>1.6900000000000001E-3</v>
      </c>
      <c r="E107">
        <v>1.0109999999999999</v>
      </c>
      <c r="F107">
        <v>7.0000000000000001E-3</v>
      </c>
    </row>
    <row r="109" spans="1:16" x14ac:dyDescent="0.2">
      <c r="B109">
        <v>0.89500000000000002</v>
      </c>
      <c r="C109">
        <v>536.94000000000005</v>
      </c>
      <c r="D109">
        <v>9.6200000000000001E-3</v>
      </c>
      <c r="E109">
        <v>5.7720000000000002</v>
      </c>
      <c r="F109">
        <v>0.14699999999999999</v>
      </c>
      <c r="G109">
        <v>1.512</v>
      </c>
      <c r="H109">
        <v>100</v>
      </c>
      <c r="I109">
        <v>0.89</v>
      </c>
      <c r="J109" t="s">
        <v>24</v>
      </c>
      <c r="K109" t="s">
        <v>33</v>
      </c>
      <c r="L109">
        <v>3</v>
      </c>
      <c r="M109">
        <f>G109</f>
        <v>1.512</v>
      </c>
      <c r="N109">
        <f>M109/L109</f>
        <v>0.504</v>
      </c>
    </row>
    <row r="110" spans="1:16" x14ac:dyDescent="0.2">
      <c r="A110" t="s">
        <v>17</v>
      </c>
      <c r="B110">
        <v>0</v>
      </c>
      <c r="C110">
        <v>0.18</v>
      </c>
      <c r="D110">
        <v>1.34E-3</v>
      </c>
      <c r="E110">
        <v>0.80500000000000005</v>
      </c>
      <c r="F110">
        <v>0.01</v>
      </c>
    </row>
    <row r="112" spans="1:16" x14ac:dyDescent="0.2">
      <c r="B112">
        <v>0.88200000000000001</v>
      </c>
      <c r="C112">
        <v>529.11</v>
      </c>
      <c r="D112">
        <v>1.426E-2</v>
      </c>
      <c r="E112">
        <v>8.5559999999999992</v>
      </c>
      <c r="F112">
        <v>0.24399999999999999</v>
      </c>
      <c r="G112">
        <v>3.7250000000000001</v>
      </c>
      <c r="H112">
        <v>100</v>
      </c>
      <c r="I112">
        <v>0.89</v>
      </c>
      <c r="J112" t="s">
        <v>24</v>
      </c>
      <c r="K112" t="s">
        <v>33</v>
      </c>
      <c r="L112">
        <v>3</v>
      </c>
      <c r="M112">
        <f>G112</f>
        <v>3.7250000000000001</v>
      </c>
      <c r="N112">
        <f>M112/L112</f>
        <v>1.2416666666666667</v>
      </c>
    </row>
    <row r="113" spans="1:14" x14ac:dyDescent="0.2">
      <c r="A113" t="s">
        <v>17</v>
      </c>
      <c r="B113">
        <v>0</v>
      </c>
      <c r="C113">
        <v>0.19</v>
      </c>
      <c r="D113">
        <v>1.6800000000000001E-3</v>
      </c>
      <c r="E113">
        <v>1.0089999999999999</v>
      </c>
      <c r="F113">
        <v>1.2999999999999999E-2</v>
      </c>
    </row>
    <row r="115" spans="1:14" x14ac:dyDescent="0.2">
      <c r="B115">
        <v>0.86899999999999999</v>
      </c>
      <c r="C115">
        <v>521.54</v>
      </c>
      <c r="D115">
        <v>1.162E-2</v>
      </c>
      <c r="E115">
        <v>6.9720000000000004</v>
      </c>
      <c r="F115">
        <v>0.26900000000000002</v>
      </c>
      <c r="G115">
        <v>3.3439999999999999</v>
      </c>
      <c r="H115">
        <v>100</v>
      </c>
      <c r="I115">
        <v>0.89</v>
      </c>
      <c r="J115" t="s">
        <v>24</v>
      </c>
      <c r="K115" t="s">
        <v>33</v>
      </c>
      <c r="L115">
        <v>3</v>
      </c>
      <c r="M115">
        <f>G115</f>
        <v>3.3439999999999999</v>
      </c>
      <c r="N115">
        <f>M115/L115</f>
        <v>1.1146666666666667</v>
      </c>
    </row>
    <row r="116" spans="1:14" x14ac:dyDescent="0.2">
      <c r="A116" t="s">
        <v>17</v>
      </c>
      <c r="B116">
        <v>0</v>
      </c>
      <c r="C116">
        <v>0.17</v>
      </c>
      <c r="D116">
        <v>1.57E-3</v>
      </c>
      <c r="E116">
        <v>0.94</v>
      </c>
      <c r="F116">
        <v>2.1999999999999999E-2</v>
      </c>
    </row>
    <row r="118" spans="1:14" x14ac:dyDescent="0.2">
      <c r="B118">
        <v>0.85899999999999999</v>
      </c>
      <c r="C118">
        <v>515.58000000000004</v>
      </c>
      <c r="D118">
        <v>1.076E-2</v>
      </c>
      <c r="E118">
        <v>6.4550000000000001</v>
      </c>
      <c r="F118">
        <v>0.30399999999999999</v>
      </c>
      <c r="G118">
        <v>3.5</v>
      </c>
      <c r="H118">
        <v>100</v>
      </c>
      <c r="I118">
        <v>0.89</v>
      </c>
      <c r="J118" t="s">
        <v>24</v>
      </c>
      <c r="K118" t="s">
        <v>33</v>
      </c>
      <c r="L118">
        <v>3</v>
      </c>
      <c r="M118">
        <f>G118</f>
        <v>3.5</v>
      </c>
      <c r="N118">
        <f>M118/L118</f>
        <v>1.1666666666666667</v>
      </c>
    </row>
    <row r="119" spans="1:14" x14ac:dyDescent="0.2">
      <c r="A119" t="s">
        <v>17</v>
      </c>
      <c r="B119">
        <v>0</v>
      </c>
      <c r="C119">
        <v>0.14000000000000001</v>
      </c>
      <c r="D119">
        <v>1.1800000000000001E-3</v>
      </c>
      <c r="E119">
        <v>0.70599999999999996</v>
      </c>
      <c r="F119">
        <v>1.9E-2</v>
      </c>
    </row>
    <row r="121" spans="1:14" x14ac:dyDescent="0.2">
      <c r="B121">
        <v>0.84799999999999998</v>
      </c>
      <c r="C121">
        <v>508.85</v>
      </c>
      <c r="D121">
        <v>9.58E-3</v>
      </c>
      <c r="E121">
        <v>5.7480000000000002</v>
      </c>
      <c r="F121">
        <v>0.27400000000000002</v>
      </c>
      <c r="G121">
        <v>2.8140000000000001</v>
      </c>
      <c r="H121">
        <v>100</v>
      </c>
      <c r="I121">
        <v>0.89</v>
      </c>
      <c r="J121" t="s">
        <v>24</v>
      </c>
      <c r="K121" t="s">
        <v>33</v>
      </c>
      <c r="L121">
        <v>3</v>
      </c>
      <c r="M121">
        <f>G121</f>
        <v>2.8140000000000001</v>
      </c>
      <c r="N121">
        <f>M121/L121</f>
        <v>0.93800000000000006</v>
      </c>
    </row>
    <row r="122" spans="1:14" x14ac:dyDescent="0.2">
      <c r="A122" t="s">
        <v>17</v>
      </c>
      <c r="B122">
        <v>0</v>
      </c>
      <c r="C122">
        <v>0.1</v>
      </c>
      <c r="D122">
        <v>8.5999999999999998E-4</v>
      </c>
      <c r="E122">
        <v>0.51300000000000001</v>
      </c>
      <c r="F122">
        <v>1.0999999999999999E-2</v>
      </c>
    </row>
    <row r="124" spans="1:14" x14ac:dyDescent="0.2">
      <c r="B124">
        <v>0.83699999999999997</v>
      </c>
      <c r="C124">
        <v>502.44</v>
      </c>
      <c r="D124">
        <v>7.2100000000000003E-3</v>
      </c>
      <c r="E124">
        <v>4.3280000000000003</v>
      </c>
      <c r="F124">
        <v>0.217</v>
      </c>
      <c r="G124">
        <v>1.68</v>
      </c>
      <c r="H124">
        <v>100</v>
      </c>
      <c r="I124">
        <v>0.89</v>
      </c>
      <c r="J124" t="s">
        <v>24</v>
      </c>
      <c r="K124" t="s">
        <v>33</v>
      </c>
      <c r="L124">
        <v>3</v>
      </c>
      <c r="M124">
        <f>G124</f>
        <v>1.68</v>
      </c>
      <c r="N124">
        <f>M124/L124</f>
        <v>0.55999999999999994</v>
      </c>
    </row>
    <row r="125" spans="1:14" x14ac:dyDescent="0.2">
      <c r="A125" t="s">
        <v>17</v>
      </c>
      <c r="B125">
        <v>0</v>
      </c>
      <c r="C125">
        <v>0.1</v>
      </c>
      <c r="D125">
        <v>7.6000000000000004E-4</v>
      </c>
      <c r="E125">
        <v>0.45500000000000002</v>
      </c>
      <c r="F125">
        <v>0.01</v>
      </c>
    </row>
    <row r="127" spans="1:14" x14ac:dyDescent="0.2">
      <c r="B127">
        <v>0.82699999999999996</v>
      </c>
      <c r="C127">
        <v>496.06</v>
      </c>
      <c r="D127">
        <v>1.023E-2</v>
      </c>
      <c r="E127">
        <v>6.1390000000000002</v>
      </c>
      <c r="F127">
        <v>0.185</v>
      </c>
      <c r="G127">
        <v>2.0249999999999999</v>
      </c>
      <c r="H127">
        <v>100</v>
      </c>
      <c r="I127">
        <v>0.89</v>
      </c>
      <c r="J127" t="s">
        <v>24</v>
      </c>
      <c r="K127" t="s">
        <v>33</v>
      </c>
      <c r="L127">
        <v>3</v>
      </c>
      <c r="M127">
        <f>G127</f>
        <v>2.0249999999999999</v>
      </c>
      <c r="N127">
        <f>M127/L127</f>
        <v>0.67499999999999993</v>
      </c>
    </row>
    <row r="128" spans="1:14" x14ac:dyDescent="0.2">
      <c r="A128" t="s">
        <v>17</v>
      </c>
      <c r="B128">
        <v>0</v>
      </c>
      <c r="C128">
        <v>0.15</v>
      </c>
      <c r="D128">
        <v>1.2099999999999999E-3</v>
      </c>
      <c r="E128">
        <v>0.72499999999999998</v>
      </c>
      <c r="F128">
        <v>8.0000000000000002E-3</v>
      </c>
    </row>
    <row r="130" spans="1:16" x14ac:dyDescent="0.2">
      <c r="B130">
        <v>0.81499999999999995</v>
      </c>
      <c r="C130">
        <v>488.96</v>
      </c>
      <c r="D130">
        <v>1.014E-2</v>
      </c>
      <c r="E130">
        <v>6.0830000000000002</v>
      </c>
      <c r="F130">
        <v>7.1999999999999995E-2</v>
      </c>
      <c r="G130">
        <v>0.78500000000000003</v>
      </c>
      <c r="H130">
        <v>100</v>
      </c>
      <c r="I130">
        <v>0.89</v>
      </c>
      <c r="J130" t="s">
        <v>24</v>
      </c>
      <c r="K130" t="s">
        <v>33</v>
      </c>
      <c r="L130">
        <v>3</v>
      </c>
      <c r="M130">
        <f>G130</f>
        <v>0.78500000000000003</v>
      </c>
      <c r="N130">
        <f>M130/L130</f>
        <v>0.26166666666666666</v>
      </c>
      <c r="P130">
        <f>SUM(M106, M109, M112, M115, M118, M121, M124, M127, M130)</f>
        <v>20.111000000000001</v>
      </c>
    </row>
    <row r="131" spans="1:16" x14ac:dyDescent="0.2">
      <c r="A131" t="s">
        <v>17</v>
      </c>
      <c r="B131">
        <v>1E-3</v>
      </c>
      <c r="C131">
        <v>0.36</v>
      </c>
      <c r="D131">
        <v>1.92E-3</v>
      </c>
      <c r="E131">
        <v>1.149</v>
      </c>
      <c r="F131">
        <v>8.0000000000000002E-3</v>
      </c>
    </row>
    <row r="133" spans="1:16" x14ac:dyDescent="0.2">
      <c r="B133">
        <v>0.73299999999999998</v>
      </c>
      <c r="C133">
        <v>439.97</v>
      </c>
      <c r="D133">
        <v>3.63E-3</v>
      </c>
      <c r="E133">
        <v>2.1760000000000002</v>
      </c>
      <c r="F133">
        <v>3.3000000000000002E-2</v>
      </c>
      <c r="G133">
        <v>0.127</v>
      </c>
      <c r="H133">
        <v>100</v>
      </c>
    </row>
    <row r="134" spans="1:16" x14ac:dyDescent="0.2">
      <c r="A134" t="s">
        <v>17</v>
      </c>
      <c r="B134">
        <v>1E-3</v>
      </c>
      <c r="C134">
        <v>0.32</v>
      </c>
      <c r="D134">
        <v>2.0600000000000002E-3</v>
      </c>
      <c r="E134">
        <v>1.2390000000000001</v>
      </c>
      <c r="F134">
        <v>1.0999999999999999E-2</v>
      </c>
    </row>
    <row r="136" spans="1:16" x14ac:dyDescent="0.2">
      <c r="B136">
        <v>0.71099999999999997</v>
      </c>
      <c r="C136">
        <v>426.47</v>
      </c>
      <c r="D136">
        <v>2.971E-2</v>
      </c>
      <c r="E136">
        <v>17.827999999999999</v>
      </c>
      <c r="F136">
        <v>5.2999999999999999E-2</v>
      </c>
      <c r="G136">
        <v>1.6910000000000001</v>
      </c>
      <c r="H136">
        <v>100</v>
      </c>
    </row>
    <row r="137" spans="1:16" x14ac:dyDescent="0.2">
      <c r="A137" t="s">
        <v>17</v>
      </c>
      <c r="B137">
        <v>1E-3</v>
      </c>
      <c r="C137">
        <v>0.67</v>
      </c>
      <c r="D137">
        <v>4.0699999999999998E-3</v>
      </c>
      <c r="E137">
        <v>2.4420000000000002</v>
      </c>
      <c r="F137">
        <v>4.0000000000000001E-3</v>
      </c>
    </row>
    <row r="140" spans="1:16" x14ac:dyDescent="0.2">
      <c r="K140" t="s">
        <v>27</v>
      </c>
      <c r="L140" t="s">
        <v>55</v>
      </c>
      <c r="M140" t="s">
        <v>34</v>
      </c>
      <c r="N140" t="s">
        <v>53</v>
      </c>
      <c r="O140" t="s">
        <v>54</v>
      </c>
    </row>
    <row r="141" spans="1:16" x14ac:dyDescent="0.2">
      <c r="J141" t="s">
        <v>24</v>
      </c>
      <c r="K141">
        <v>2</v>
      </c>
      <c r="L141">
        <v>12.52</v>
      </c>
      <c r="M141">
        <v>14.337</v>
      </c>
      <c r="N141">
        <f>M141/K141</f>
        <v>7.1684999999999999</v>
      </c>
      <c r="O141">
        <f>N141/L141</f>
        <v>0.5725638977635783</v>
      </c>
    </row>
    <row r="142" spans="1:16" x14ac:dyDescent="0.2">
      <c r="J142" t="s">
        <v>25</v>
      </c>
      <c r="K142">
        <v>3</v>
      </c>
      <c r="L142">
        <v>13.77</v>
      </c>
      <c r="M142">
        <v>20.933</v>
      </c>
      <c r="N142">
        <f t="shared" ref="N142:N146" si="0">M142/K142</f>
        <v>6.9776666666666669</v>
      </c>
      <c r="O142">
        <f t="shared" ref="O142:O146" si="1">N142/L142</f>
        <v>0.50672960542241596</v>
      </c>
    </row>
    <row r="143" spans="1:16" x14ac:dyDescent="0.2">
      <c r="J143" t="s">
        <v>24</v>
      </c>
      <c r="K143">
        <v>2</v>
      </c>
      <c r="L143">
        <v>12.52</v>
      </c>
      <c r="M143">
        <v>9.8600000000000012</v>
      </c>
      <c r="N143">
        <f t="shared" si="0"/>
        <v>4.9300000000000006</v>
      </c>
      <c r="O143">
        <f t="shared" si="1"/>
        <v>0.39376996805111825</v>
      </c>
    </row>
    <row r="144" spans="1:16" x14ac:dyDescent="0.2">
      <c r="J144" t="s">
        <v>22</v>
      </c>
      <c r="K144">
        <v>3</v>
      </c>
      <c r="L144">
        <v>10</v>
      </c>
      <c r="M144">
        <v>22.962</v>
      </c>
      <c r="N144">
        <f t="shared" si="0"/>
        <v>7.6539999999999999</v>
      </c>
      <c r="O144">
        <f t="shared" si="1"/>
        <v>0.76539999999999997</v>
      </c>
    </row>
    <row r="145" spans="10:15" x14ac:dyDescent="0.2">
      <c r="J145" t="s">
        <v>23</v>
      </c>
      <c r="K145">
        <v>3</v>
      </c>
      <c r="L145">
        <v>10</v>
      </c>
      <c r="M145">
        <v>11.023</v>
      </c>
      <c r="N145">
        <f t="shared" si="0"/>
        <v>3.6743333333333332</v>
      </c>
      <c r="O145">
        <f t="shared" si="1"/>
        <v>0.36743333333333333</v>
      </c>
    </row>
    <row r="146" spans="10:15" x14ac:dyDescent="0.2">
      <c r="J146" t="s">
        <v>24</v>
      </c>
      <c r="K146">
        <v>3</v>
      </c>
      <c r="L146">
        <v>12.52</v>
      </c>
      <c r="M146">
        <v>20.111000000000001</v>
      </c>
      <c r="N146">
        <f t="shared" si="0"/>
        <v>6.7036666666666669</v>
      </c>
      <c r="O146">
        <f t="shared" si="1"/>
        <v>0.53543663471778491</v>
      </c>
    </row>
    <row r="147" spans="10:15" x14ac:dyDescent="0.2">
      <c r="J147" t="s">
        <v>56</v>
      </c>
      <c r="K147">
        <v>5</v>
      </c>
      <c r="L147">
        <v>11.08</v>
      </c>
      <c r="M147">
        <f>SUM(M143:M144)</f>
        <v>32.822000000000003</v>
      </c>
      <c r="N147">
        <f t="shared" ref="N147" si="2">M147/K147</f>
        <v>6.5644000000000009</v>
      </c>
      <c r="O147">
        <f t="shared" ref="O147" si="3">N147/L147</f>
        <v>0.59245487364620941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47D3-F0CD-F04E-B8B9-F0BDCC550E5A}">
  <dimension ref="A1:P180"/>
  <sheetViews>
    <sheetView topLeftCell="A152" workbookViewId="0">
      <selection activeCell="O180" activeCellId="3" sqref="O174:O175 O178 O179 O180"/>
    </sheetView>
  </sheetViews>
  <sheetFormatPr baseColWidth="10" defaultRowHeight="16" x14ac:dyDescent="0.2"/>
  <cols>
    <col min="1" max="1" width="8.33203125" customWidth="1"/>
    <col min="2" max="2" width="9.5" bestFit="1" customWidth="1"/>
    <col min="3" max="3" width="15.1640625" customWidth="1"/>
    <col min="4" max="4" width="13" customWidth="1"/>
    <col min="5" max="5" width="11.83203125" customWidth="1"/>
    <col min="6" max="6" width="14.5" customWidth="1"/>
    <col min="7" max="7" width="11.33203125" customWidth="1"/>
    <col min="8" max="8" width="8.83203125" customWidth="1"/>
  </cols>
  <sheetData>
    <row r="1" spans="1:14" x14ac:dyDescent="0.2">
      <c r="A1" t="s">
        <v>0</v>
      </c>
      <c r="B1" t="s">
        <v>1</v>
      </c>
      <c r="C1" t="s">
        <v>57</v>
      </c>
    </row>
    <row r="3" spans="1:14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5" spans="1:14" x14ac:dyDescent="0.2">
      <c r="A5" t="s">
        <v>3</v>
      </c>
      <c r="B5" t="s">
        <v>9</v>
      </c>
      <c r="D5" t="s">
        <v>10</v>
      </c>
      <c r="F5" t="s">
        <v>11</v>
      </c>
      <c r="G5" t="s">
        <v>12</v>
      </c>
      <c r="H5" t="s">
        <v>13</v>
      </c>
    </row>
    <row r="6" spans="1:14" x14ac:dyDescent="0.2">
      <c r="B6" t="s">
        <v>14</v>
      </c>
      <c r="C6" t="s">
        <v>15</v>
      </c>
      <c r="D6" t="s">
        <v>14</v>
      </c>
      <c r="E6" t="s">
        <v>15</v>
      </c>
      <c r="H6" t="s">
        <v>16</v>
      </c>
    </row>
    <row r="8" spans="1:14" x14ac:dyDescent="0.2">
      <c r="B8">
        <v>1</v>
      </c>
      <c r="C8" s="1">
        <v>1.9E+16</v>
      </c>
    </row>
    <row r="9" spans="1:14" x14ac:dyDescent="0.2">
      <c r="I9" t="s">
        <v>19</v>
      </c>
      <c r="J9" t="s">
        <v>20</v>
      </c>
      <c r="K9" t="s">
        <v>26</v>
      </c>
      <c r="L9" t="s">
        <v>27</v>
      </c>
      <c r="M9" t="s">
        <v>34</v>
      </c>
      <c r="N9" t="s">
        <v>35</v>
      </c>
    </row>
    <row r="10" spans="1:14" x14ac:dyDescent="0.2">
      <c r="B10">
        <v>2.234</v>
      </c>
      <c r="C10">
        <v>1340.58</v>
      </c>
      <c r="D10">
        <v>1.907E-2</v>
      </c>
      <c r="E10">
        <v>11.443</v>
      </c>
      <c r="F10">
        <v>1.6E-2</v>
      </c>
      <c r="G10">
        <v>0.33200000000000002</v>
      </c>
      <c r="H10">
        <v>100</v>
      </c>
      <c r="I10">
        <v>2.14</v>
      </c>
      <c r="J10" t="s">
        <v>24</v>
      </c>
      <c r="K10" t="s">
        <v>32</v>
      </c>
      <c r="L10">
        <v>2</v>
      </c>
      <c r="M10">
        <f>G10</f>
        <v>0.33200000000000002</v>
      </c>
      <c r="N10">
        <f>M10/L10</f>
        <v>0.16600000000000001</v>
      </c>
    </row>
    <row r="11" spans="1:14" x14ac:dyDescent="0.2">
      <c r="A11" t="s">
        <v>17</v>
      </c>
      <c r="B11">
        <v>3.0000000000000001E-3</v>
      </c>
      <c r="C11">
        <v>1.84</v>
      </c>
      <c r="D11">
        <v>9.1000000000000004E-3</v>
      </c>
      <c r="E11">
        <v>5.4589999999999996</v>
      </c>
      <c r="F11">
        <v>5.0000000000000001E-3</v>
      </c>
    </row>
    <row r="13" spans="1:14" x14ac:dyDescent="0.2">
      <c r="B13">
        <v>2.1480000000000001</v>
      </c>
      <c r="C13">
        <v>1288.94</v>
      </c>
      <c r="D13">
        <v>1.0070000000000001E-2</v>
      </c>
      <c r="E13">
        <v>6.04</v>
      </c>
      <c r="F13">
        <v>0.127</v>
      </c>
      <c r="G13">
        <v>1.3640000000000001</v>
      </c>
      <c r="H13">
        <v>100</v>
      </c>
      <c r="I13">
        <v>2.14</v>
      </c>
      <c r="J13" t="s">
        <v>24</v>
      </c>
      <c r="K13" t="s">
        <v>32</v>
      </c>
      <c r="L13">
        <v>2</v>
      </c>
      <c r="M13">
        <f>G13</f>
        <v>1.3640000000000001</v>
      </c>
      <c r="N13">
        <f>M13/L13</f>
        <v>0.68200000000000005</v>
      </c>
    </row>
    <row r="14" spans="1:14" x14ac:dyDescent="0.2">
      <c r="A14" t="s">
        <v>17</v>
      </c>
      <c r="B14">
        <v>0</v>
      </c>
      <c r="C14">
        <v>0.2</v>
      </c>
      <c r="D14">
        <v>1.1100000000000001E-3</v>
      </c>
      <c r="E14">
        <v>0.66500000000000004</v>
      </c>
      <c r="F14">
        <v>8.0000000000000002E-3</v>
      </c>
    </row>
    <row r="16" spans="1:14" x14ac:dyDescent="0.2">
      <c r="B16">
        <v>2.1339999999999999</v>
      </c>
      <c r="C16">
        <v>1280.4100000000001</v>
      </c>
      <c r="D16">
        <v>1.013E-2</v>
      </c>
      <c r="E16">
        <v>6.0810000000000004</v>
      </c>
      <c r="F16">
        <v>0.28699999999999998</v>
      </c>
      <c r="G16">
        <v>3.1110000000000002</v>
      </c>
      <c r="H16">
        <v>100</v>
      </c>
      <c r="I16">
        <v>2.14</v>
      </c>
      <c r="J16" t="s">
        <v>24</v>
      </c>
      <c r="K16" t="s">
        <v>32</v>
      </c>
      <c r="L16">
        <v>2</v>
      </c>
      <c r="M16">
        <f>G16</f>
        <v>3.1110000000000002</v>
      </c>
      <c r="N16">
        <f>M16/L16</f>
        <v>1.5555000000000001</v>
      </c>
    </row>
    <row r="17" spans="1:16" x14ac:dyDescent="0.2">
      <c r="A17" t="s">
        <v>17</v>
      </c>
      <c r="B17">
        <v>0</v>
      </c>
      <c r="C17">
        <v>0.11</v>
      </c>
      <c r="D17">
        <v>7.7999999999999999E-4</v>
      </c>
      <c r="E17">
        <v>0.47099999999999997</v>
      </c>
      <c r="F17">
        <v>0.01</v>
      </c>
    </row>
    <row r="19" spans="1:16" x14ac:dyDescent="0.2">
      <c r="B19">
        <v>2.121</v>
      </c>
      <c r="C19">
        <v>1272.8</v>
      </c>
      <c r="D19">
        <v>1.157E-2</v>
      </c>
      <c r="E19">
        <v>6.9450000000000003</v>
      </c>
      <c r="F19">
        <v>0.28399999999999997</v>
      </c>
      <c r="G19">
        <v>3.524</v>
      </c>
      <c r="H19">
        <v>100</v>
      </c>
      <c r="I19">
        <v>2.14</v>
      </c>
      <c r="J19" t="s">
        <v>24</v>
      </c>
      <c r="K19" t="s">
        <v>32</v>
      </c>
      <c r="L19">
        <v>2</v>
      </c>
      <c r="M19">
        <f>G19</f>
        <v>3.524</v>
      </c>
      <c r="N19">
        <f>M19/L19</f>
        <v>1.762</v>
      </c>
    </row>
    <row r="20" spans="1:16" x14ac:dyDescent="0.2">
      <c r="A20" t="s">
        <v>17</v>
      </c>
      <c r="B20">
        <v>0</v>
      </c>
      <c r="C20">
        <v>0.12</v>
      </c>
      <c r="D20">
        <v>1.01E-3</v>
      </c>
      <c r="E20">
        <v>0.60799999999999998</v>
      </c>
      <c r="F20">
        <v>8.9999999999999993E-3</v>
      </c>
    </row>
    <row r="22" spans="1:16" x14ac:dyDescent="0.2">
      <c r="B22">
        <v>2.109</v>
      </c>
      <c r="C22">
        <v>1265.5</v>
      </c>
      <c r="D22">
        <v>8.3899999999999999E-3</v>
      </c>
      <c r="E22">
        <v>5.0369999999999999</v>
      </c>
      <c r="F22">
        <v>0.22900000000000001</v>
      </c>
      <c r="G22">
        <v>2.0579999999999998</v>
      </c>
      <c r="H22">
        <v>100</v>
      </c>
      <c r="I22">
        <v>2.14</v>
      </c>
      <c r="J22" t="s">
        <v>24</v>
      </c>
      <c r="K22" t="s">
        <v>32</v>
      </c>
      <c r="L22">
        <v>2</v>
      </c>
      <c r="M22">
        <f>G22</f>
        <v>2.0579999999999998</v>
      </c>
      <c r="N22">
        <f>M22/L22</f>
        <v>1.0289999999999999</v>
      </c>
    </row>
    <row r="23" spans="1:16" x14ac:dyDescent="0.2">
      <c r="A23" t="s">
        <v>17</v>
      </c>
      <c r="B23">
        <v>0</v>
      </c>
      <c r="C23">
        <v>0.12</v>
      </c>
      <c r="D23">
        <v>1E-3</v>
      </c>
      <c r="E23">
        <v>0.59799999999999998</v>
      </c>
      <c r="F23">
        <v>1.4999999999999999E-2</v>
      </c>
    </row>
    <row r="24" spans="1:16" x14ac:dyDescent="0.2">
      <c r="P24" t="s">
        <v>52</v>
      </c>
    </row>
    <row r="25" spans="1:16" x14ac:dyDescent="0.2">
      <c r="B25">
        <v>2.097</v>
      </c>
      <c r="C25">
        <v>1258.22</v>
      </c>
      <c r="D25">
        <v>2.5170000000000001E-2</v>
      </c>
      <c r="E25">
        <v>15.105</v>
      </c>
      <c r="F25">
        <v>0.17699999999999999</v>
      </c>
      <c r="G25">
        <v>4.7779999999999996</v>
      </c>
      <c r="H25">
        <v>100</v>
      </c>
      <c r="I25">
        <v>2.14</v>
      </c>
      <c r="J25" t="s">
        <v>24</v>
      </c>
      <c r="K25" t="s">
        <v>32</v>
      </c>
      <c r="L25">
        <v>2</v>
      </c>
      <c r="M25">
        <f>G25</f>
        <v>4.7779999999999996</v>
      </c>
      <c r="N25">
        <f>M25/L25</f>
        <v>2.3889999999999998</v>
      </c>
      <c r="P25">
        <f>SUM(M10, M13, M16, M19, M22, M25)</f>
        <v>15.166999999999998</v>
      </c>
    </row>
    <row r="26" spans="1:16" x14ac:dyDescent="0.2">
      <c r="A26" t="s">
        <v>17</v>
      </c>
      <c r="B26">
        <v>1E-3</v>
      </c>
      <c r="C26">
        <v>0.52</v>
      </c>
      <c r="D26">
        <v>1.58E-3</v>
      </c>
      <c r="E26">
        <v>0.94599999999999995</v>
      </c>
      <c r="F26">
        <v>8.0000000000000002E-3</v>
      </c>
    </row>
    <row r="28" spans="1:16" x14ac:dyDescent="0.2">
      <c r="B28">
        <v>1.9259999999999999</v>
      </c>
      <c r="C28">
        <v>1155.6099999999999</v>
      </c>
      <c r="D28">
        <v>4.4000000000000002E-4</v>
      </c>
      <c r="E28">
        <v>0.26400000000000001</v>
      </c>
      <c r="F28">
        <v>0</v>
      </c>
      <c r="G28">
        <v>0</v>
      </c>
      <c r="H28">
        <v>100</v>
      </c>
      <c r="I28">
        <v>1.91</v>
      </c>
      <c r="J28" t="s">
        <v>25</v>
      </c>
      <c r="K28" t="s">
        <v>33</v>
      </c>
      <c r="L28">
        <v>3</v>
      </c>
      <c r="M28">
        <f>G28</f>
        <v>0</v>
      </c>
      <c r="N28">
        <f>M28/L28</f>
        <v>0</v>
      </c>
    </row>
    <row r="29" spans="1:16" x14ac:dyDescent="0.2">
      <c r="A29" t="s">
        <v>17</v>
      </c>
      <c r="B29">
        <v>3.0590000000000002</v>
      </c>
      <c r="C29">
        <v>1835.88</v>
      </c>
      <c r="D29">
        <v>79.514499999999998</v>
      </c>
      <c r="E29">
        <v>47715.302000000003</v>
      </c>
      <c r="F29">
        <v>9.4410000000000007</v>
      </c>
    </row>
    <row r="31" spans="1:16" x14ac:dyDescent="0.2">
      <c r="B31">
        <v>1.91</v>
      </c>
      <c r="C31">
        <v>1145.95</v>
      </c>
      <c r="D31">
        <v>5.0000000000000001E-3</v>
      </c>
      <c r="E31">
        <v>2.9980000000000002</v>
      </c>
      <c r="F31">
        <v>0.40600000000000003</v>
      </c>
      <c r="G31">
        <v>2.1739999999999999</v>
      </c>
      <c r="H31">
        <v>100</v>
      </c>
      <c r="I31">
        <v>1.91</v>
      </c>
      <c r="J31" t="s">
        <v>25</v>
      </c>
      <c r="K31" t="s">
        <v>33</v>
      </c>
      <c r="L31">
        <v>3</v>
      </c>
      <c r="M31">
        <f>G31</f>
        <v>2.1739999999999999</v>
      </c>
      <c r="N31">
        <f>M31/L31</f>
        <v>0.72466666666666668</v>
      </c>
    </row>
    <row r="32" spans="1:16" x14ac:dyDescent="0.2">
      <c r="A32" t="s">
        <v>17</v>
      </c>
      <c r="B32">
        <v>0</v>
      </c>
      <c r="C32">
        <v>0.04</v>
      </c>
      <c r="D32">
        <v>2.2000000000000001E-4</v>
      </c>
      <c r="E32">
        <v>0.13400000000000001</v>
      </c>
      <c r="F32">
        <v>0.01</v>
      </c>
    </row>
    <row r="34" spans="1:16" x14ac:dyDescent="0.2">
      <c r="B34">
        <v>1.899</v>
      </c>
      <c r="C34">
        <v>1139.6600000000001</v>
      </c>
      <c r="D34">
        <v>6.2700000000000004E-3</v>
      </c>
      <c r="E34">
        <v>3.762</v>
      </c>
      <c r="F34">
        <v>0.29399999999999998</v>
      </c>
      <c r="G34">
        <v>1.9710000000000001</v>
      </c>
      <c r="H34">
        <v>100</v>
      </c>
      <c r="I34">
        <v>1.91</v>
      </c>
      <c r="J34" t="s">
        <v>25</v>
      </c>
      <c r="K34" t="s">
        <v>33</v>
      </c>
      <c r="L34">
        <v>3</v>
      </c>
      <c r="M34">
        <f>G34</f>
        <v>1.9710000000000001</v>
      </c>
      <c r="N34">
        <f>M34/L34</f>
        <v>0.65700000000000003</v>
      </c>
    </row>
    <row r="35" spans="1:16" x14ac:dyDescent="0.2">
      <c r="A35" t="s">
        <v>17</v>
      </c>
      <c r="B35">
        <v>0</v>
      </c>
      <c r="C35">
        <v>0.11</v>
      </c>
      <c r="D35">
        <v>5.9999999999999995E-4</v>
      </c>
      <c r="E35">
        <v>0.36</v>
      </c>
      <c r="F35">
        <v>1.4E-2</v>
      </c>
    </row>
    <row r="37" spans="1:16" x14ac:dyDescent="0.2">
      <c r="B37">
        <v>1.8939999999999999</v>
      </c>
      <c r="C37">
        <v>1136.3699999999999</v>
      </c>
      <c r="D37">
        <v>5.1799999999999997E-3</v>
      </c>
      <c r="E37">
        <v>3.1070000000000002</v>
      </c>
      <c r="F37">
        <v>0.14199999999999999</v>
      </c>
      <c r="G37">
        <v>0.78700000000000003</v>
      </c>
      <c r="H37">
        <v>100</v>
      </c>
      <c r="I37">
        <v>1.91</v>
      </c>
      <c r="J37" t="s">
        <v>25</v>
      </c>
      <c r="K37" t="s">
        <v>33</v>
      </c>
      <c r="L37">
        <v>3</v>
      </c>
      <c r="M37">
        <f>G37</f>
        <v>0.78700000000000003</v>
      </c>
      <c r="N37">
        <f>M37/L37</f>
        <v>0.26233333333333336</v>
      </c>
    </row>
    <row r="38" spans="1:16" x14ac:dyDescent="0.2">
      <c r="A38" t="s">
        <v>17</v>
      </c>
      <c r="B38">
        <v>0</v>
      </c>
      <c r="C38">
        <v>0.18</v>
      </c>
      <c r="D38">
        <v>1.1800000000000001E-3</v>
      </c>
      <c r="E38">
        <v>0.70599999999999996</v>
      </c>
      <c r="F38">
        <v>1.7000000000000001E-2</v>
      </c>
    </row>
    <row r="40" spans="1:16" x14ac:dyDescent="0.2">
      <c r="B40">
        <v>1.883</v>
      </c>
      <c r="C40">
        <v>1129.77</v>
      </c>
      <c r="D40">
        <v>9.8700000000000003E-3</v>
      </c>
      <c r="E40">
        <v>5.9210000000000003</v>
      </c>
      <c r="F40">
        <v>0.92400000000000004</v>
      </c>
      <c r="G40">
        <v>9.7650000000000006</v>
      </c>
      <c r="H40">
        <v>100</v>
      </c>
      <c r="I40">
        <v>1.91</v>
      </c>
      <c r="J40" t="s">
        <v>25</v>
      </c>
      <c r="K40" t="s">
        <v>33</v>
      </c>
      <c r="L40">
        <v>3</v>
      </c>
      <c r="M40">
        <f>G40</f>
        <v>9.7650000000000006</v>
      </c>
      <c r="N40">
        <f>M40/L40</f>
        <v>3.2550000000000003</v>
      </c>
    </row>
    <row r="41" spans="1:16" x14ac:dyDescent="0.2">
      <c r="A41" t="s">
        <v>17</v>
      </c>
      <c r="B41">
        <v>0</v>
      </c>
      <c r="C41">
        <v>0.03</v>
      </c>
      <c r="D41">
        <v>1.8000000000000001E-4</v>
      </c>
      <c r="E41">
        <v>0.106</v>
      </c>
      <c r="F41">
        <v>8.0000000000000002E-3</v>
      </c>
    </row>
    <row r="43" spans="1:16" x14ac:dyDescent="0.2">
      <c r="B43">
        <v>1.867</v>
      </c>
      <c r="C43">
        <v>1120.46</v>
      </c>
      <c r="D43">
        <v>6.0800000000000003E-3</v>
      </c>
      <c r="E43">
        <v>3.65</v>
      </c>
      <c r="F43">
        <v>0.47099999999999997</v>
      </c>
      <c r="G43">
        <v>3.069</v>
      </c>
      <c r="H43">
        <v>100</v>
      </c>
      <c r="I43">
        <v>1.91</v>
      </c>
      <c r="J43" t="s">
        <v>25</v>
      </c>
      <c r="K43" t="s">
        <v>33</v>
      </c>
      <c r="L43">
        <v>3</v>
      </c>
      <c r="M43">
        <f>G43</f>
        <v>3.069</v>
      </c>
      <c r="N43">
        <f>M43/L43</f>
        <v>1.0229999999999999</v>
      </c>
    </row>
    <row r="44" spans="1:16" x14ac:dyDescent="0.2">
      <c r="A44" t="s">
        <v>17</v>
      </c>
      <c r="B44">
        <v>0</v>
      </c>
      <c r="C44">
        <v>0.04</v>
      </c>
      <c r="D44">
        <v>2.3000000000000001E-4</v>
      </c>
      <c r="E44">
        <v>0.13600000000000001</v>
      </c>
      <c r="F44">
        <v>8.9999999999999993E-3</v>
      </c>
    </row>
    <row r="45" spans="1:16" x14ac:dyDescent="0.2">
      <c r="P45" t="s">
        <v>52</v>
      </c>
    </row>
    <row r="46" spans="1:16" x14ac:dyDescent="0.2">
      <c r="B46">
        <v>1.855</v>
      </c>
      <c r="C46">
        <v>1113.01</v>
      </c>
      <c r="D46">
        <v>7.43E-3</v>
      </c>
      <c r="E46">
        <v>4.4580000000000002</v>
      </c>
      <c r="F46">
        <v>0.318</v>
      </c>
      <c r="G46">
        <v>2.5299999999999998</v>
      </c>
      <c r="H46">
        <v>100</v>
      </c>
      <c r="I46">
        <v>1.91</v>
      </c>
      <c r="J46" t="s">
        <v>25</v>
      </c>
      <c r="K46" t="s">
        <v>33</v>
      </c>
      <c r="L46">
        <v>3</v>
      </c>
      <c r="M46">
        <f>G46</f>
        <v>2.5299999999999998</v>
      </c>
      <c r="N46">
        <f>M46/L46</f>
        <v>0.84333333333333327</v>
      </c>
      <c r="P46">
        <f>SUM(M28, M31, M34, M37, M40, M43, M46)</f>
        <v>20.295999999999999</v>
      </c>
    </row>
    <row r="47" spans="1:16" x14ac:dyDescent="0.2">
      <c r="A47" t="s">
        <v>17</v>
      </c>
      <c r="B47">
        <v>0</v>
      </c>
      <c r="C47">
        <v>0.06</v>
      </c>
      <c r="D47">
        <v>3.3E-4</v>
      </c>
      <c r="E47">
        <v>0.19500000000000001</v>
      </c>
      <c r="F47">
        <v>8.0000000000000002E-3</v>
      </c>
    </row>
    <row r="49" spans="1:8" x14ac:dyDescent="0.2">
      <c r="B49">
        <v>1.8120000000000001</v>
      </c>
      <c r="C49">
        <v>1087.43</v>
      </c>
      <c r="D49">
        <v>1.5E-3</v>
      </c>
      <c r="E49">
        <v>0.90200000000000002</v>
      </c>
      <c r="F49">
        <v>0</v>
      </c>
      <c r="G49">
        <v>0</v>
      </c>
      <c r="H49">
        <v>100</v>
      </c>
    </row>
    <row r="50" spans="1:8" x14ac:dyDescent="0.2">
      <c r="A50" t="s">
        <v>17</v>
      </c>
      <c r="B50">
        <v>2.1800000000000002</v>
      </c>
      <c r="C50">
        <v>1308.4000000000001</v>
      </c>
      <c r="D50">
        <v>2.2202500000000001</v>
      </c>
      <c r="E50">
        <v>1332.336</v>
      </c>
      <c r="F50">
        <v>1.2E-2</v>
      </c>
    </row>
    <row r="52" spans="1:8" x14ac:dyDescent="0.2">
      <c r="B52">
        <v>1.7949999999999999</v>
      </c>
      <c r="C52">
        <v>1076.8699999999999</v>
      </c>
      <c r="D52">
        <v>5.9899999999999997E-3</v>
      </c>
      <c r="E52">
        <v>3.5920000000000001</v>
      </c>
      <c r="F52">
        <v>1.7999999999999999E-2</v>
      </c>
      <c r="G52">
        <v>0.11600000000000001</v>
      </c>
      <c r="H52">
        <v>100</v>
      </c>
    </row>
    <row r="53" spans="1:8" x14ac:dyDescent="0.2">
      <c r="A53" t="s">
        <v>17</v>
      </c>
      <c r="B53">
        <v>2E-3</v>
      </c>
      <c r="C53">
        <v>0.94</v>
      </c>
      <c r="D53">
        <v>4.7200000000000002E-3</v>
      </c>
      <c r="E53">
        <v>2.83</v>
      </c>
      <c r="F53">
        <v>8.9999999999999993E-3</v>
      </c>
    </row>
    <row r="55" spans="1:8" x14ac:dyDescent="0.2">
      <c r="B55">
        <v>1.7829999999999999</v>
      </c>
      <c r="C55">
        <v>1070.06</v>
      </c>
      <c r="D55">
        <v>3.0999999999999999E-3</v>
      </c>
      <c r="E55">
        <v>1.8620000000000001</v>
      </c>
      <c r="F55">
        <v>2.1999999999999999E-2</v>
      </c>
      <c r="G55">
        <v>7.1999999999999995E-2</v>
      </c>
      <c r="H55">
        <v>100</v>
      </c>
    </row>
    <row r="56" spans="1:8" x14ac:dyDescent="0.2">
      <c r="A56" t="s">
        <v>17</v>
      </c>
      <c r="B56">
        <v>1E-3</v>
      </c>
      <c r="C56">
        <v>0.56999999999999995</v>
      </c>
      <c r="D56">
        <v>2.99E-3</v>
      </c>
      <c r="E56">
        <v>1.794</v>
      </c>
      <c r="F56">
        <v>1.4E-2</v>
      </c>
    </row>
    <row r="58" spans="1:8" x14ac:dyDescent="0.2">
      <c r="B58">
        <v>1.772</v>
      </c>
      <c r="C58">
        <v>1063.5999999999999</v>
      </c>
      <c r="D58">
        <v>3.15E-3</v>
      </c>
      <c r="E58">
        <v>1.891</v>
      </c>
      <c r="F58">
        <v>6.0000000000000001E-3</v>
      </c>
      <c r="G58">
        <v>0.02</v>
      </c>
      <c r="H58">
        <v>100</v>
      </c>
    </row>
    <row r="59" spans="1:8" x14ac:dyDescent="0.2">
      <c r="A59" t="s">
        <v>17</v>
      </c>
      <c r="B59">
        <v>4.0000000000000001E-3</v>
      </c>
      <c r="C59">
        <v>2.33</v>
      </c>
      <c r="D59">
        <v>9.0299999999999998E-3</v>
      </c>
      <c r="E59">
        <v>5.4189999999999996</v>
      </c>
      <c r="F59">
        <v>1.2E-2</v>
      </c>
    </row>
    <row r="61" spans="1:8" x14ac:dyDescent="0.2">
      <c r="B61">
        <v>1.71</v>
      </c>
      <c r="C61">
        <v>1026.4100000000001</v>
      </c>
      <c r="D61">
        <v>6.6299999999999996E-3</v>
      </c>
      <c r="E61">
        <v>3.98</v>
      </c>
      <c r="F61">
        <v>1.4E-2</v>
      </c>
      <c r="G61">
        <v>0.10199999999999999</v>
      </c>
      <c r="H61">
        <v>100</v>
      </c>
    </row>
    <row r="62" spans="1:8" x14ac:dyDescent="0.2">
      <c r="A62" t="s">
        <v>17</v>
      </c>
      <c r="B62">
        <v>2E-3</v>
      </c>
      <c r="C62">
        <v>1.27</v>
      </c>
      <c r="D62">
        <v>6.7999999999999996E-3</v>
      </c>
      <c r="E62">
        <v>4.0810000000000004</v>
      </c>
      <c r="F62">
        <v>8.9999999999999993E-3</v>
      </c>
    </row>
    <row r="64" spans="1:8" x14ac:dyDescent="0.2">
      <c r="B64">
        <v>1.6950000000000001</v>
      </c>
      <c r="C64">
        <v>1017.34</v>
      </c>
      <c r="D64">
        <v>1.038E-2</v>
      </c>
      <c r="E64">
        <v>6.23</v>
      </c>
      <c r="F64">
        <v>2.1999999999999999E-2</v>
      </c>
      <c r="G64">
        <v>0.245</v>
      </c>
      <c r="H64">
        <v>100</v>
      </c>
    </row>
    <row r="65" spans="1:14" x14ac:dyDescent="0.2">
      <c r="A65" t="s">
        <v>17</v>
      </c>
      <c r="B65">
        <v>2E-3</v>
      </c>
      <c r="C65">
        <v>1.06</v>
      </c>
      <c r="D65">
        <v>5.6100000000000004E-3</v>
      </c>
      <c r="E65">
        <v>3.3690000000000002</v>
      </c>
      <c r="F65">
        <v>7.0000000000000001E-3</v>
      </c>
    </row>
    <row r="67" spans="1:14" x14ac:dyDescent="0.2">
      <c r="B67">
        <v>1.6180000000000001</v>
      </c>
      <c r="C67">
        <v>971.03</v>
      </c>
      <c r="D67">
        <v>3.2599999999999999E-3</v>
      </c>
      <c r="E67">
        <v>1.958</v>
      </c>
      <c r="F67">
        <v>1.2999999999999999E-2</v>
      </c>
      <c r="G67">
        <v>4.3999999999999997E-2</v>
      </c>
      <c r="H67">
        <v>100</v>
      </c>
    </row>
    <row r="68" spans="1:14" x14ac:dyDescent="0.2">
      <c r="A68" t="s">
        <v>17</v>
      </c>
      <c r="B68">
        <v>2E-3</v>
      </c>
      <c r="C68">
        <v>1.01</v>
      </c>
      <c r="D68">
        <v>4.9800000000000001E-3</v>
      </c>
      <c r="E68">
        <v>2.9889999999999999</v>
      </c>
      <c r="F68">
        <v>1.2999999999999999E-2</v>
      </c>
    </row>
    <row r="70" spans="1:14" x14ac:dyDescent="0.2">
      <c r="B70">
        <v>1.607</v>
      </c>
      <c r="C70">
        <v>964.21</v>
      </c>
      <c r="D70">
        <v>6.4799999999999996E-3</v>
      </c>
      <c r="E70">
        <v>3.8860000000000001</v>
      </c>
      <c r="F70">
        <v>3.9E-2</v>
      </c>
      <c r="G70">
        <v>0.27100000000000002</v>
      </c>
      <c r="H70">
        <v>100</v>
      </c>
    </row>
    <row r="71" spans="1:14" x14ac:dyDescent="0.2">
      <c r="A71" t="s">
        <v>17</v>
      </c>
      <c r="B71">
        <v>1E-3</v>
      </c>
      <c r="C71">
        <v>0.51</v>
      </c>
      <c r="D71">
        <v>3.1900000000000001E-3</v>
      </c>
      <c r="E71">
        <v>1.9119999999999999</v>
      </c>
      <c r="F71">
        <v>0.01</v>
      </c>
    </row>
    <row r="73" spans="1:14" x14ac:dyDescent="0.2">
      <c r="B73">
        <v>1.5960000000000001</v>
      </c>
      <c r="C73">
        <v>957.53</v>
      </c>
      <c r="D73">
        <v>1.2019999999999999E-2</v>
      </c>
      <c r="E73">
        <v>7.2130000000000001</v>
      </c>
      <c r="F73">
        <v>2.5999999999999999E-2</v>
      </c>
      <c r="G73">
        <v>0.33400000000000002</v>
      </c>
      <c r="H73">
        <v>100</v>
      </c>
    </row>
    <row r="74" spans="1:14" x14ac:dyDescent="0.2">
      <c r="A74" t="s">
        <v>17</v>
      </c>
      <c r="B74">
        <v>2E-3</v>
      </c>
      <c r="C74">
        <v>1.25</v>
      </c>
      <c r="D74">
        <v>6.4099999999999999E-3</v>
      </c>
      <c r="E74">
        <v>3.8439999999999999</v>
      </c>
      <c r="F74">
        <v>7.0000000000000001E-3</v>
      </c>
    </row>
    <row r="76" spans="1:14" x14ac:dyDescent="0.2">
      <c r="B76">
        <v>1.548</v>
      </c>
      <c r="C76">
        <v>929.17</v>
      </c>
      <c r="D76">
        <v>1.6500000000000001E-2</v>
      </c>
      <c r="E76">
        <v>9.8989999999999991</v>
      </c>
      <c r="F76">
        <v>0.113</v>
      </c>
      <c r="G76">
        <v>1.994</v>
      </c>
      <c r="H76">
        <v>100</v>
      </c>
      <c r="I76">
        <v>1.54</v>
      </c>
      <c r="J76" t="s">
        <v>24</v>
      </c>
      <c r="K76" t="s">
        <v>32</v>
      </c>
      <c r="L76">
        <v>2</v>
      </c>
      <c r="M76">
        <f>G76</f>
        <v>1.994</v>
      </c>
      <c r="N76">
        <f>M76/L76</f>
        <v>0.997</v>
      </c>
    </row>
    <row r="77" spans="1:14" x14ac:dyDescent="0.2">
      <c r="A77" t="s">
        <v>17</v>
      </c>
      <c r="B77">
        <v>1E-3</v>
      </c>
      <c r="C77">
        <v>0.35</v>
      </c>
      <c r="D77">
        <v>1.7799999999999999E-3</v>
      </c>
      <c r="E77">
        <v>1.0680000000000001</v>
      </c>
      <c r="F77">
        <v>6.0000000000000001E-3</v>
      </c>
    </row>
    <row r="79" spans="1:14" x14ac:dyDescent="0.2">
      <c r="B79">
        <v>1.536</v>
      </c>
      <c r="C79">
        <v>921.56</v>
      </c>
      <c r="D79">
        <v>5.7800000000000004E-3</v>
      </c>
      <c r="E79">
        <v>3.468</v>
      </c>
      <c r="F79">
        <v>0.24299999999999999</v>
      </c>
      <c r="G79">
        <v>1.5009999999999999</v>
      </c>
      <c r="H79">
        <v>100</v>
      </c>
      <c r="I79">
        <v>1.54</v>
      </c>
      <c r="J79" t="s">
        <v>24</v>
      </c>
      <c r="K79" t="s">
        <v>32</v>
      </c>
      <c r="L79">
        <v>2</v>
      </c>
      <c r="M79">
        <f>G79</f>
        <v>1.5009999999999999</v>
      </c>
      <c r="N79">
        <f>M79/L79</f>
        <v>0.75049999999999994</v>
      </c>
    </row>
    <row r="80" spans="1:14" x14ac:dyDescent="0.2">
      <c r="A80" t="s">
        <v>17</v>
      </c>
      <c r="B80">
        <v>0</v>
      </c>
      <c r="C80">
        <v>7.0000000000000007E-2</v>
      </c>
      <c r="D80">
        <v>5.0000000000000001E-4</v>
      </c>
      <c r="E80">
        <v>0.30199999999999999</v>
      </c>
      <c r="F80">
        <v>0.01</v>
      </c>
    </row>
    <row r="82" spans="1:16" x14ac:dyDescent="0.2">
      <c r="B82">
        <v>1.524</v>
      </c>
      <c r="C82">
        <v>914.33</v>
      </c>
      <c r="D82">
        <v>7.4000000000000003E-3</v>
      </c>
      <c r="E82">
        <v>4.4400000000000004</v>
      </c>
      <c r="F82">
        <v>0.317</v>
      </c>
      <c r="G82">
        <v>2.5110000000000001</v>
      </c>
      <c r="H82">
        <v>100</v>
      </c>
      <c r="I82">
        <v>1.54</v>
      </c>
      <c r="J82" t="s">
        <v>24</v>
      </c>
      <c r="K82" t="s">
        <v>32</v>
      </c>
      <c r="L82">
        <v>2</v>
      </c>
      <c r="M82">
        <f>G82</f>
        <v>2.5110000000000001</v>
      </c>
      <c r="N82">
        <f>M82/L82</f>
        <v>1.2555000000000001</v>
      </c>
    </row>
    <row r="83" spans="1:16" x14ac:dyDescent="0.2">
      <c r="A83" t="s">
        <v>17</v>
      </c>
      <c r="B83">
        <v>0</v>
      </c>
      <c r="C83">
        <v>7.0000000000000007E-2</v>
      </c>
      <c r="D83">
        <v>4.4999999999999999E-4</v>
      </c>
      <c r="E83">
        <v>0.27</v>
      </c>
      <c r="F83">
        <v>8.9999999999999993E-3</v>
      </c>
    </row>
    <row r="85" spans="1:16" x14ac:dyDescent="0.2">
      <c r="B85">
        <v>1.512</v>
      </c>
      <c r="C85">
        <v>907.23</v>
      </c>
      <c r="D85">
        <v>9.1699999999999993E-3</v>
      </c>
      <c r="E85">
        <v>5.5039999999999996</v>
      </c>
      <c r="F85">
        <v>0.23799999999999999</v>
      </c>
      <c r="G85">
        <v>2.3330000000000002</v>
      </c>
      <c r="H85">
        <v>100</v>
      </c>
      <c r="I85">
        <v>1.54</v>
      </c>
      <c r="J85" t="s">
        <v>24</v>
      </c>
      <c r="K85" t="s">
        <v>32</v>
      </c>
      <c r="L85">
        <v>2</v>
      </c>
      <c r="M85">
        <f>G85</f>
        <v>2.3330000000000002</v>
      </c>
      <c r="N85">
        <f>M85/L85</f>
        <v>1.1665000000000001</v>
      </c>
    </row>
    <row r="86" spans="1:16" x14ac:dyDescent="0.2">
      <c r="A86" t="s">
        <v>17</v>
      </c>
      <c r="B86">
        <v>0</v>
      </c>
      <c r="C86">
        <v>0.12</v>
      </c>
      <c r="D86">
        <v>9.1E-4</v>
      </c>
      <c r="E86">
        <v>0.54300000000000004</v>
      </c>
      <c r="F86">
        <v>0.01</v>
      </c>
    </row>
    <row r="88" spans="1:16" x14ac:dyDescent="0.2">
      <c r="B88">
        <v>1.4990000000000001</v>
      </c>
      <c r="C88">
        <v>899.8</v>
      </c>
      <c r="D88">
        <v>1.2359999999999999E-2</v>
      </c>
      <c r="E88">
        <v>7.415</v>
      </c>
      <c r="F88">
        <v>0.14000000000000001</v>
      </c>
      <c r="G88">
        <v>1.853</v>
      </c>
      <c r="H88">
        <v>100</v>
      </c>
      <c r="I88">
        <v>1.54</v>
      </c>
      <c r="J88" t="s">
        <v>24</v>
      </c>
      <c r="K88" t="s">
        <v>32</v>
      </c>
      <c r="L88">
        <v>2</v>
      </c>
      <c r="M88">
        <f>G88</f>
        <v>1.853</v>
      </c>
      <c r="N88">
        <f>M88/L88</f>
        <v>0.92649999999999999</v>
      </c>
    </row>
    <row r="89" spans="1:16" x14ac:dyDescent="0.2">
      <c r="A89" t="s">
        <v>17</v>
      </c>
      <c r="B89">
        <v>0</v>
      </c>
      <c r="C89">
        <v>0.26</v>
      </c>
      <c r="D89">
        <v>2.0400000000000001E-3</v>
      </c>
      <c r="E89">
        <v>1.2250000000000001</v>
      </c>
      <c r="F89">
        <v>8.0000000000000002E-3</v>
      </c>
    </row>
    <row r="90" spans="1:16" x14ac:dyDescent="0.2">
      <c r="P90" t="s">
        <v>52</v>
      </c>
    </row>
    <row r="91" spans="1:16" x14ac:dyDescent="0.2">
      <c r="B91">
        <v>1.4870000000000001</v>
      </c>
      <c r="C91">
        <v>892.19</v>
      </c>
      <c r="D91">
        <v>6.7400000000000003E-3</v>
      </c>
      <c r="E91">
        <v>4.0469999999999997</v>
      </c>
      <c r="F91">
        <v>6.3E-2</v>
      </c>
      <c r="G91">
        <v>0.45500000000000002</v>
      </c>
      <c r="H91">
        <v>100</v>
      </c>
      <c r="I91">
        <v>1.54</v>
      </c>
      <c r="J91" t="s">
        <v>24</v>
      </c>
      <c r="K91" t="s">
        <v>32</v>
      </c>
      <c r="L91">
        <v>2</v>
      </c>
      <c r="M91">
        <f>G91</f>
        <v>0.45500000000000002</v>
      </c>
      <c r="N91">
        <f>M91/L91</f>
        <v>0.22750000000000001</v>
      </c>
      <c r="P91">
        <f>SUM(M76, M79, M82, M85, M88, M91)</f>
        <v>10.647</v>
      </c>
    </row>
    <row r="92" spans="1:16" x14ac:dyDescent="0.2">
      <c r="A92" t="s">
        <v>17</v>
      </c>
      <c r="B92">
        <v>1E-3</v>
      </c>
      <c r="C92">
        <v>0.32</v>
      </c>
      <c r="D92">
        <v>2.1099999999999999E-3</v>
      </c>
      <c r="E92">
        <v>1.2649999999999999</v>
      </c>
      <c r="F92">
        <v>0.01</v>
      </c>
    </row>
    <row r="94" spans="1:16" x14ac:dyDescent="0.2">
      <c r="B94">
        <v>1.4690000000000001</v>
      </c>
      <c r="C94">
        <v>881.3</v>
      </c>
      <c r="D94">
        <v>1.155E-2</v>
      </c>
      <c r="E94">
        <v>6.9329999999999998</v>
      </c>
      <c r="F94">
        <v>0.249</v>
      </c>
      <c r="G94">
        <v>3.0790000000000002</v>
      </c>
      <c r="H94">
        <v>100</v>
      </c>
      <c r="I94">
        <v>1.47</v>
      </c>
      <c r="J94" t="s">
        <v>22</v>
      </c>
      <c r="K94" t="s">
        <v>33</v>
      </c>
      <c r="L94">
        <v>3</v>
      </c>
      <c r="M94">
        <f>G94</f>
        <v>3.0790000000000002</v>
      </c>
      <c r="N94">
        <f>M94/L94</f>
        <v>1.0263333333333333</v>
      </c>
    </row>
    <row r="95" spans="1:16" x14ac:dyDescent="0.2">
      <c r="A95" t="s">
        <v>17</v>
      </c>
      <c r="B95">
        <v>0</v>
      </c>
      <c r="C95">
        <v>0.11</v>
      </c>
      <c r="D95">
        <v>7.2000000000000005E-4</v>
      </c>
      <c r="E95">
        <v>0.42899999999999999</v>
      </c>
      <c r="F95">
        <v>7.0000000000000001E-3</v>
      </c>
    </row>
    <row r="97" spans="1:16" x14ac:dyDescent="0.2">
      <c r="B97">
        <v>1.454</v>
      </c>
      <c r="C97">
        <v>872.68</v>
      </c>
      <c r="D97">
        <v>8.9599999999999992E-3</v>
      </c>
      <c r="E97">
        <v>5.3769999999999998</v>
      </c>
      <c r="F97">
        <v>0.74199999999999999</v>
      </c>
      <c r="G97">
        <v>7.1180000000000003</v>
      </c>
      <c r="H97">
        <v>100</v>
      </c>
      <c r="I97">
        <v>1.47</v>
      </c>
      <c r="J97" t="s">
        <v>22</v>
      </c>
      <c r="K97" t="s">
        <v>33</v>
      </c>
      <c r="L97">
        <v>3</v>
      </c>
      <c r="M97">
        <f>G97</f>
        <v>7.1180000000000003</v>
      </c>
      <c r="N97">
        <f>M97/L97</f>
        <v>2.3726666666666669</v>
      </c>
    </row>
    <row r="98" spans="1:16" x14ac:dyDescent="0.2">
      <c r="A98" t="s">
        <v>17</v>
      </c>
      <c r="B98">
        <v>0</v>
      </c>
      <c r="C98">
        <v>0.03</v>
      </c>
      <c r="D98">
        <v>2.4000000000000001E-4</v>
      </c>
      <c r="E98">
        <v>0.14199999999999999</v>
      </c>
      <c r="F98">
        <v>8.0000000000000002E-3</v>
      </c>
    </row>
    <row r="100" spans="1:16" x14ac:dyDescent="0.2">
      <c r="B100">
        <v>1.4410000000000001</v>
      </c>
      <c r="C100">
        <v>864.72</v>
      </c>
      <c r="D100">
        <v>9.2700000000000005E-3</v>
      </c>
      <c r="E100">
        <v>5.5650000000000004</v>
      </c>
      <c r="F100">
        <v>0.82599999999999996</v>
      </c>
      <c r="G100">
        <v>8.202</v>
      </c>
      <c r="H100">
        <v>100</v>
      </c>
      <c r="I100">
        <v>1.47</v>
      </c>
      <c r="J100" t="s">
        <v>22</v>
      </c>
      <c r="K100" t="s">
        <v>33</v>
      </c>
      <c r="L100">
        <v>3</v>
      </c>
      <c r="M100">
        <f>G100</f>
        <v>8.202</v>
      </c>
      <c r="N100">
        <f>M100/L100</f>
        <v>2.734</v>
      </c>
    </row>
    <row r="101" spans="1:16" x14ac:dyDescent="0.2">
      <c r="A101" t="s">
        <v>17</v>
      </c>
      <c r="B101">
        <v>0</v>
      </c>
      <c r="C101">
        <v>0.03</v>
      </c>
      <c r="D101">
        <v>2.4000000000000001E-4</v>
      </c>
      <c r="E101">
        <v>0.14499999999999999</v>
      </c>
      <c r="F101">
        <v>8.9999999999999993E-3</v>
      </c>
    </row>
    <row r="102" spans="1:16" x14ac:dyDescent="0.2">
      <c r="P102" t="s">
        <v>52</v>
      </c>
    </row>
    <row r="103" spans="1:16" x14ac:dyDescent="0.2">
      <c r="B103">
        <v>1.4279999999999999</v>
      </c>
      <c r="C103">
        <v>856.81</v>
      </c>
      <c r="D103">
        <v>1.4659999999999999E-2</v>
      </c>
      <c r="E103">
        <v>8.8000000000000007</v>
      </c>
      <c r="F103">
        <v>0.36099999999999999</v>
      </c>
      <c r="G103">
        <v>5.6680000000000001</v>
      </c>
      <c r="H103">
        <v>100</v>
      </c>
      <c r="I103">
        <v>1.47</v>
      </c>
      <c r="J103" t="s">
        <v>22</v>
      </c>
      <c r="K103" t="s">
        <v>33</v>
      </c>
      <c r="L103">
        <v>3</v>
      </c>
      <c r="M103">
        <f>G103</f>
        <v>5.6680000000000001</v>
      </c>
      <c r="N103">
        <f>M103/L103</f>
        <v>1.8893333333333333</v>
      </c>
      <c r="P103">
        <f>SUM( M94, M97, M100, M103)</f>
        <v>24.067</v>
      </c>
    </row>
    <row r="104" spans="1:16" x14ac:dyDescent="0.2">
      <c r="A104" t="s">
        <v>17</v>
      </c>
      <c r="B104">
        <v>0</v>
      </c>
      <c r="C104">
        <v>0.11</v>
      </c>
      <c r="D104">
        <v>5.1999999999999995E-4</v>
      </c>
      <c r="E104">
        <v>0.314</v>
      </c>
      <c r="F104">
        <v>7.0000000000000001E-3</v>
      </c>
    </row>
    <row r="106" spans="1:16" x14ac:dyDescent="0.2">
      <c r="B106">
        <v>1.288</v>
      </c>
      <c r="C106">
        <v>773.09</v>
      </c>
      <c r="D106">
        <v>5.8659999999999997E-2</v>
      </c>
      <c r="E106">
        <v>35.200000000000003</v>
      </c>
      <c r="F106">
        <v>5.3999999999999999E-2</v>
      </c>
      <c r="G106">
        <v>3.379</v>
      </c>
      <c r="H106">
        <v>100</v>
      </c>
    </row>
    <row r="107" spans="1:16" x14ac:dyDescent="0.2">
      <c r="A107" t="s">
        <v>17</v>
      </c>
      <c r="B107">
        <v>2E-3</v>
      </c>
      <c r="C107">
        <v>0.98</v>
      </c>
      <c r="D107">
        <v>5.1500000000000001E-3</v>
      </c>
      <c r="E107">
        <v>3.093</v>
      </c>
      <c r="F107">
        <v>3.0000000000000001E-3</v>
      </c>
    </row>
    <row r="109" spans="1:16" x14ac:dyDescent="0.2">
      <c r="B109">
        <v>1.208</v>
      </c>
      <c r="C109">
        <v>725.08</v>
      </c>
      <c r="D109">
        <v>1.41E-3</v>
      </c>
      <c r="E109">
        <v>0.84499999999999997</v>
      </c>
      <c r="F109">
        <v>1.9E-2</v>
      </c>
      <c r="G109">
        <v>2.9000000000000001E-2</v>
      </c>
      <c r="H109">
        <v>100</v>
      </c>
    </row>
    <row r="110" spans="1:16" x14ac:dyDescent="0.2">
      <c r="A110" t="s">
        <v>17</v>
      </c>
      <c r="B110">
        <v>1E-3</v>
      </c>
      <c r="C110">
        <v>0.68</v>
      </c>
      <c r="D110">
        <v>7.3299999999999997E-3</v>
      </c>
      <c r="E110">
        <v>4.3979999999999997</v>
      </c>
      <c r="F110">
        <v>0.105</v>
      </c>
    </row>
    <row r="112" spans="1:16" x14ac:dyDescent="0.2">
      <c r="B112">
        <v>1.1919999999999999</v>
      </c>
      <c r="C112">
        <v>715.51</v>
      </c>
      <c r="D112">
        <v>8.5000000000000006E-3</v>
      </c>
      <c r="E112">
        <v>5.1029999999999998</v>
      </c>
      <c r="F112">
        <v>1.7000000000000001E-2</v>
      </c>
      <c r="G112">
        <v>0.159</v>
      </c>
      <c r="H112">
        <v>100</v>
      </c>
    </row>
    <row r="113" spans="1:16" x14ac:dyDescent="0.2">
      <c r="A113" t="s">
        <v>17</v>
      </c>
      <c r="B113">
        <v>2E-3</v>
      </c>
      <c r="C113">
        <v>1.17</v>
      </c>
      <c r="D113">
        <v>6.2599999999999999E-3</v>
      </c>
      <c r="E113">
        <v>3.7559999999999998</v>
      </c>
      <c r="F113">
        <v>8.0000000000000002E-3</v>
      </c>
    </row>
    <row r="115" spans="1:16" x14ac:dyDescent="0.2">
      <c r="B115">
        <v>1.175</v>
      </c>
      <c r="C115">
        <v>705.39</v>
      </c>
      <c r="D115">
        <v>5.7000000000000002E-3</v>
      </c>
      <c r="E115">
        <v>3.4180000000000001</v>
      </c>
      <c r="F115">
        <v>0.13600000000000001</v>
      </c>
      <c r="G115">
        <v>0.82699999999999996</v>
      </c>
      <c r="H115">
        <v>100</v>
      </c>
      <c r="I115">
        <v>1.17</v>
      </c>
      <c r="J115" t="s">
        <v>23</v>
      </c>
      <c r="K115" t="s">
        <v>33</v>
      </c>
      <c r="L115">
        <v>3</v>
      </c>
      <c r="M115">
        <f>G115</f>
        <v>0.82699999999999996</v>
      </c>
      <c r="N115">
        <f>M115/L115</f>
        <v>0.27566666666666667</v>
      </c>
    </row>
    <row r="116" spans="1:16" x14ac:dyDescent="0.2">
      <c r="A116" t="s">
        <v>17</v>
      </c>
      <c r="B116">
        <v>0</v>
      </c>
      <c r="C116">
        <v>0.13</v>
      </c>
      <c r="D116">
        <v>6.9999999999999999E-4</v>
      </c>
      <c r="E116">
        <v>0.41799999999999998</v>
      </c>
      <c r="F116">
        <v>0.01</v>
      </c>
    </row>
    <row r="118" spans="1:16" x14ac:dyDescent="0.2">
      <c r="B118">
        <v>1.163</v>
      </c>
      <c r="C118">
        <v>698.1</v>
      </c>
      <c r="D118">
        <v>6.6400000000000001E-3</v>
      </c>
      <c r="E118">
        <v>3.9849999999999999</v>
      </c>
      <c r="F118">
        <v>0.309</v>
      </c>
      <c r="G118">
        <v>2.198</v>
      </c>
      <c r="H118">
        <v>100</v>
      </c>
      <c r="I118">
        <v>1.17</v>
      </c>
      <c r="J118" t="s">
        <v>23</v>
      </c>
      <c r="K118" t="s">
        <v>33</v>
      </c>
      <c r="L118">
        <v>3</v>
      </c>
      <c r="M118">
        <f>G118</f>
        <v>2.198</v>
      </c>
      <c r="N118">
        <f>M118/L118</f>
        <v>0.73266666666666669</v>
      </c>
    </row>
    <row r="119" spans="1:16" x14ac:dyDescent="0.2">
      <c r="A119" t="s">
        <v>17</v>
      </c>
      <c r="B119">
        <v>0</v>
      </c>
      <c r="C119">
        <v>7.0000000000000007E-2</v>
      </c>
      <c r="D119">
        <v>4.4999999999999999E-4</v>
      </c>
      <c r="E119">
        <v>0.27200000000000002</v>
      </c>
      <c r="F119">
        <v>0.01</v>
      </c>
    </row>
    <row r="121" spans="1:16" x14ac:dyDescent="0.2">
      <c r="B121">
        <v>1.1519999999999999</v>
      </c>
      <c r="C121">
        <v>691.2</v>
      </c>
      <c r="D121">
        <v>1.172E-2</v>
      </c>
      <c r="E121">
        <v>7.0339999999999998</v>
      </c>
      <c r="F121">
        <v>0.40899999999999997</v>
      </c>
      <c r="G121">
        <v>5.1319999999999997</v>
      </c>
      <c r="H121">
        <v>100</v>
      </c>
      <c r="I121">
        <v>1.17</v>
      </c>
      <c r="J121" t="s">
        <v>23</v>
      </c>
      <c r="K121" t="s">
        <v>33</v>
      </c>
      <c r="L121">
        <v>3</v>
      </c>
      <c r="M121">
        <f>G121</f>
        <v>5.1319999999999997</v>
      </c>
      <c r="N121">
        <f>M121/L121</f>
        <v>1.7106666666666666</v>
      </c>
    </row>
    <row r="122" spans="1:16" x14ac:dyDescent="0.2">
      <c r="A122" t="s">
        <v>17</v>
      </c>
      <c r="B122">
        <v>0</v>
      </c>
      <c r="C122">
        <v>0.09</v>
      </c>
      <c r="D122">
        <v>6.9999999999999999E-4</v>
      </c>
      <c r="E122">
        <v>0.42099999999999999</v>
      </c>
      <c r="F122">
        <v>8.0000000000000002E-3</v>
      </c>
    </row>
    <row r="124" spans="1:16" x14ac:dyDescent="0.2">
      <c r="B124">
        <v>1.1399999999999999</v>
      </c>
      <c r="C124">
        <v>684.22</v>
      </c>
      <c r="D124">
        <v>8.09E-3</v>
      </c>
      <c r="E124">
        <v>4.8570000000000002</v>
      </c>
      <c r="F124">
        <v>0.30599999999999999</v>
      </c>
      <c r="G124">
        <v>2.6549999999999998</v>
      </c>
      <c r="H124">
        <v>100</v>
      </c>
      <c r="I124">
        <v>1.17</v>
      </c>
      <c r="J124" t="s">
        <v>23</v>
      </c>
      <c r="K124" t="s">
        <v>33</v>
      </c>
      <c r="L124">
        <v>3</v>
      </c>
      <c r="M124">
        <f>G124</f>
        <v>2.6549999999999998</v>
      </c>
      <c r="N124">
        <f>M124/L124</f>
        <v>0.8849999999999999</v>
      </c>
    </row>
    <row r="125" spans="1:16" x14ac:dyDescent="0.2">
      <c r="A125" t="s">
        <v>17</v>
      </c>
      <c r="B125">
        <v>0</v>
      </c>
      <c r="C125">
        <v>0.08</v>
      </c>
      <c r="D125">
        <v>5.8E-4</v>
      </c>
      <c r="E125">
        <v>0.35</v>
      </c>
      <c r="F125">
        <v>0.01</v>
      </c>
    </row>
    <row r="126" spans="1:16" x14ac:dyDescent="0.2">
      <c r="P126" t="s">
        <v>52</v>
      </c>
    </row>
    <row r="127" spans="1:16" x14ac:dyDescent="0.2">
      <c r="B127">
        <v>1.1279999999999999</v>
      </c>
      <c r="C127">
        <v>676.75</v>
      </c>
      <c r="D127">
        <v>7.2500000000000004E-3</v>
      </c>
      <c r="E127">
        <v>4.3499999999999996</v>
      </c>
      <c r="F127">
        <v>0.129</v>
      </c>
      <c r="G127">
        <v>0.998</v>
      </c>
      <c r="H127">
        <v>100</v>
      </c>
      <c r="I127">
        <v>1.17</v>
      </c>
      <c r="J127" t="s">
        <v>23</v>
      </c>
      <c r="K127" t="s">
        <v>33</v>
      </c>
      <c r="L127">
        <v>3</v>
      </c>
      <c r="M127">
        <f>G127</f>
        <v>0.998</v>
      </c>
      <c r="N127">
        <f>M127/L127</f>
        <v>0.33266666666666667</v>
      </c>
      <c r="P127">
        <f>SUM( M115, M118, M121, M124, M127)</f>
        <v>11.809999999999999</v>
      </c>
    </row>
    <row r="128" spans="1:16" x14ac:dyDescent="0.2">
      <c r="A128" t="s">
        <v>17</v>
      </c>
      <c r="B128">
        <v>0</v>
      </c>
      <c r="C128">
        <v>0.16</v>
      </c>
      <c r="D128">
        <v>8.7000000000000001E-4</v>
      </c>
      <c r="E128">
        <v>0.52500000000000002</v>
      </c>
      <c r="F128">
        <v>8.9999999999999993E-3</v>
      </c>
    </row>
    <row r="130" spans="1:14" x14ac:dyDescent="0.2">
      <c r="B130">
        <v>1.01</v>
      </c>
      <c r="C130">
        <v>605.79999999999995</v>
      </c>
      <c r="D130">
        <v>6.6309999999999994E-2</v>
      </c>
      <c r="E130">
        <v>39.790999999999997</v>
      </c>
      <c r="F130">
        <v>6.2E-2</v>
      </c>
      <c r="G130">
        <v>4.3689999999999998</v>
      </c>
      <c r="H130">
        <v>100</v>
      </c>
    </row>
    <row r="131" spans="1:14" x14ac:dyDescent="0.2">
      <c r="A131" t="s">
        <v>17</v>
      </c>
      <c r="B131">
        <v>5.0000000000000001E-3</v>
      </c>
      <c r="C131">
        <v>3.03</v>
      </c>
      <c r="D131">
        <v>4.7410000000000001E-2</v>
      </c>
      <c r="E131">
        <v>28.452000000000002</v>
      </c>
      <c r="F131">
        <v>0.108</v>
      </c>
    </row>
    <row r="133" spans="1:14" x14ac:dyDescent="0.2">
      <c r="B133">
        <v>1.0009999999999999</v>
      </c>
      <c r="C133">
        <v>600.74</v>
      </c>
      <c r="D133">
        <v>0.13197999999999999</v>
      </c>
      <c r="E133">
        <v>79.2</v>
      </c>
      <c r="F133">
        <v>2E-3</v>
      </c>
      <c r="G133">
        <v>0.34100000000000003</v>
      </c>
      <c r="H133">
        <v>100</v>
      </c>
    </row>
    <row r="134" spans="1:14" x14ac:dyDescent="0.2">
      <c r="A134" t="s">
        <v>17</v>
      </c>
      <c r="B134">
        <v>0.37</v>
      </c>
      <c r="C134">
        <v>221.95</v>
      </c>
      <c r="D134">
        <v>2.0932499999999998</v>
      </c>
      <c r="E134">
        <v>1256.124</v>
      </c>
      <c r="F134">
        <v>0.109</v>
      </c>
    </row>
    <row r="136" spans="1:14" x14ac:dyDescent="0.2">
      <c r="B136">
        <v>0.91100000000000003</v>
      </c>
      <c r="C136">
        <v>546.70000000000005</v>
      </c>
      <c r="D136">
        <v>7.5599999999999999E-3</v>
      </c>
      <c r="E136">
        <v>4.5389999999999997</v>
      </c>
      <c r="F136">
        <v>8.2000000000000003E-2</v>
      </c>
      <c r="G136">
        <v>0.66500000000000004</v>
      </c>
      <c r="H136">
        <v>100</v>
      </c>
      <c r="I136">
        <v>0.89</v>
      </c>
      <c r="J136" t="s">
        <v>24</v>
      </c>
      <c r="K136" t="s">
        <v>33</v>
      </c>
      <c r="L136">
        <v>3</v>
      </c>
      <c r="M136">
        <f>G136</f>
        <v>0.66500000000000004</v>
      </c>
      <c r="N136">
        <f>M136/L136</f>
        <v>0.22166666666666668</v>
      </c>
    </row>
    <row r="137" spans="1:14" x14ac:dyDescent="0.2">
      <c r="A137" t="s">
        <v>17</v>
      </c>
      <c r="B137">
        <v>0</v>
      </c>
      <c r="C137">
        <v>0.25</v>
      </c>
      <c r="D137">
        <v>1.5200000000000001E-3</v>
      </c>
      <c r="E137">
        <v>0.91100000000000003</v>
      </c>
      <c r="F137">
        <v>8.9999999999999993E-3</v>
      </c>
    </row>
    <row r="139" spans="1:14" x14ac:dyDescent="0.2">
      <c r="B139">
        <v>0.89800000000000002</v>
      </c>
      <c r="C139">
        <v>538.66999999999996</v>
      </c>
      <c r="D139">
        <v>9.5099999999999994E-3</v>
      </c>
      <c r="E139">
        <v>5.7080000000000002</v>
      </c>
      <c r="F139">
        <v>0.16300000000000001</v>
      </c>
      <c r="G139">
        <v>1.6639999999999999</v>
      </c>
      <c r="H139">
        <v>100</v>
      </c>
      <c r="I139">
        <v>0.89</v>
      </c>
      <c r="J139" t="s">
        <v>24</v>
      </c>
      <c r="K139" t="s">
        <v>33</v>
      </c>
      <c r="L139">
        <v>3</v>
      </c>
      <c r="M139">
        <f>G139</f>
        <v>1.6639999999999999</v>
      </c>
      <c r="N139">
        <f>M139/L139</f>
        <v>0.55466666666666664</v>
      </c>
    </row>
    <row r="140" spans="1:14" x14ac:dyDescent="0.2">
      <c r="A140" t="s">
        <v>17</v>
      </c>
      <c r="B140">
        <v>0</v>
      </c>
      <c r="C140">
        <v>0.18</v>
      </c>
      <c r="D140">
        <v>1.31E-3</v>
      </c>
      <c r="E140">
        <v>0.78500000000000003</v>
      </c>
      <c r="F140">
        <v>1.0999999999999999E-2</v>
      </c>
    </row>
    <row r="142" spans="1:14" x14ac:dyDescent="0.2">
      <c r="B142">
        <v>0.88500000000000001</v>
      </c>
      <c r="C142">
        <v>530.94000000000005</v>
      </c>
      <c r="D142">
        <v>1.329E-2</v>
      </c>
      <c r="E142">
        <v>7.9749999999999996</v>
      </c>
      <c r="F142">
        <v>0.254</v>
      </c>
      <c r="G142">
        <v>3.613</v>
      </c>
      <c r="H142">
        <v>100</v>
      </c>
      <c r="I142">
        <v>0.89</v>
      </c>
      <c r="J142" t="s">
        <v>24</v>
      </c>
      <c r="K142" t="s">
        <v>33</v>
      </c>
      <c r="L142">
        <v>3</v>
      </c>
      <c r="M142">
        <f>G142</f>
        <v>3.613</v>
      </c>
      <c r="N142">
        <f>M142/L142</f>
        <v>1.2043333333333333</v>
      </c>
    </row>
    <row r="143" spans="1:14" x14ac:dyDescent="0.2">
      <c r="A143" t="s">
        <v>17</v>
      </c>
      <c r="B143">
        <v>0</v>
      </c>
      <c r="C143">
        <v>0.19</v>
      </c>
      <c r="D143">
        <v>1.6800000000000001E-3</v>
      </c>
      <c r="E143">
        <v>1.0109999999999999</v>
      </c>
      <c r="F143">
        <v>1.6E-2</v>
      </c>
    </row>
    <row r="145" spans="1:16" x14ac:dyDescent="0.2">
      <c r="B145">
        <v>0.872</v>
      </c>
      <c r="C145">
        <v>523.01</v>
      </c>
      <c r="D145">
        <v>1.3180000000000001E-2</v>
      </c>
      <c r="E145">
        <v>7.9119999999999999</v>
      </c>
      <c r="F145">
        <v>0.32500000000000001</v>
      </c>
      <c r="G145">
        <v>4.59</v>
      </c>
      <c r="H145">
        <v>100</v>
      </c>
      <c r="I145">
        <v>0.89</v>
      </c>
      <c r="J145" t="s">
        <v>24</v>
      </c>
      <c r="K145" t="s">
        <v>33</v>
      </c>
      <c r="L145">
        <v>3</v>
      </c>
      <c r="M145">
        <f>G145</f>
        <v>4.59</v>
      </c>
      <c r="N145">
        <f>M145/L145</f>
        <v>1.53</v>
      </c>
    </row>
    <row r="146" spans="1:16" x14ac:dyDescent="0.2">
      <c r="A146" t="s">
        <v>17</v>
      </c>
      <c r="B146">
        <v>0</v>
      </c>
      <c r="C146">
        <v>0.19</v>
      </c>
      <c r="D146">
        <v>1.7099999999999999E-3</v>
      </c>
      <c r="E146">
        <v>1.026</v>
      </c>
      <c r="F146">
        <v>2.1999999999999999E-2</v>
      </c>
    </row>
    <row r="148" spans="1:16" x14ac:dyDescent="0.2">
      <c r="B148">
        <v>0.86099999999999999</v>
      </c>
      <c r="C148">
        <v>516.88</v>
      </c>
      <c r="D148">
        <v>9.7900000000000001E-3</v>
      </c>
      <c r="E148">
        <v>5.8760000000000003</v>
      </c>
      <c r="F148">
        <v>0.29899999999999999</v>
      </c>
      <c r="G148">
        <v>3.1320000000000001</v>
      </c>
      <c r="H148">
        <v>100</v>
      </c>
      <c r="I148">
        <v>0.89</v>
      </c>
      <c r="J148" t="s">
        <v>24</v>
      </c>
      <c r="K148" t="s">
        <v>33</v>
      </c>
      <c r="L148">
        <v>3</v>
      </c>
      <c r="M148">
        <f>G148</f>
        <v>3.1320000000000001</v>
      </c>
      <c r="N148">
        <f>M148/L148</f>
        <v>1.044</v>
      </c>
    </row>
    <row r="149" spans="1:16" x14ac:dyDescent="0.2">
      <c r="A149" t="s">
        <v>17</v>
      </c>
      <c r="B149">
        <v>0</v>
      </c>
      <c r="C149">
        <v>0.14000000000000001</v>
      </c>
      <c r="D149">
        <v>1.2899999999999999E-3</v>
      </c>
      <c r="E149">
        <v>0.77400000000000002</v>
      </c>
      <c r="F149">
        <v>2.5000000000000001E-2</v>
      </c>
    </row>
    <row r="151" spans="1:16" x14ac:dyDescent="0.2">
      <c r="B151">
        <v>0.85099999999999998</v>
      </c>
      <c r="C151">
        <v>510.42</v>
      </c>
      <c r="D151">
        <v>1.018E-2</v>
      </c>
      <c r="E151">
        <v>6.1070000000000002</v>
      </c>
      <c r="F151">
        <v>0.29899999999999999</v>
      </c>
      <c r="G151">
        <v>3.2549999999999999</v>
      </c>
      <c r="H151">
        <v>100</v>
      </c>
      <c r="I151">
        <v>0.89</v>
      </c>
      <c r="J151" t="s">
        <v>24</v>
      </c>
      <c r="K151" t="s">
        <v>33</v>
      </c>
      <c r="L151">
        <v>3</v>
      </c>
      <c r="M151">
        <f>G151</f>
        <v>3.2549999999999999</v>
      </c>
      <c r="N151">
        <f>M151/L151</f>
        <v>1.085</v>
      </c>
    </row>
    <row r="152" spans="1:16" x14ac:dyDescent="0.2">
      <c r="A152" t="s">
        <v>17</v>
      </c>
      <c r="B152">
        <v>0</v>
      </c>
      <c r="C152">
        <v>0.12</v>
      </c>
      <c r="D152">
        <v>1.0200000000000001E-3</v>
      </c>
      <c r="E152">
        <v>0.61099999999999999</v>
      </c>
      <c r="F152">
        <v>1.2E-2</v>
      </c>
    </row>
    <row r="154" spans="1:16" x14ac:dyDescent="0.2">
      <c r="B154">
        <v>0.84</v>
      </c>
      <c r="C154">
        <v>504.17</v>
      </c>
      <c r="D154">
        <v>6.6800000000000002E-3</v>
      </c>
      <c r="E154">
        <v>4.01</v>
      </c>
      <c r="F154">
        <v>0.218</v>
      </c>
      <c r="G154">
        <v>1.5629999999999999</v>
      </c>
      <c r="H154">
        <v>100</v>
      </c>
      <c r="I154">
        <v>0.89</v>
      </c>
      <c r="J154" t="s">
        <v>24</v>
      </c>
      <c r="K154" t="s">
        <v>33</v>
      </c>
      <c r="L154">
        <v>3</v>
      </c>
      <c r="M154">
        <f>G154</f>
        <v>1.5629999999999999</v>
      </c>
      <c r="N154">
        <f>M154/L154</f>
        <v>0.52100000000000002</v>
      </c>
    </row>
    <row r="155" spans="1:16" x14ac:dyDescent="0.2">
      <c r="A155" t="s">
        <v>17</v>
      </c>
      <c r="B155">
        <v>0</v>
      </c>
      <c r="C155">
        <v>0.11</v>
      </c>
      <c r="D155">
        <v>8.8000000000000003E-4</v>
      </c>
      <c r="E155">
        <v>0.52700000000000002</v>
      </c>
      <c r="F155">
        <v>1.4E-2</v>
      </c>
    </row>
    <row r="157" spans="1:16" x14ac:dyDescent="0.2">
      <c r="B157">
        <v>0.83</v>
      </c>
      <c r="C157">
        <v>497.9</v>
      </c>
      <c r="D157">
        <v>1.1560000000000001E-2</v>
      </c>
      <c r="E157">
        <v>6.9370000000000003</v>
      </c>
      <c r="F157">
        <v>0.21299999999999999</v>
      </c>
      <c r="G157">
        <v>2.6309999999999998</v>
      </c>
      <c r="H157">
        <v>100</v>
      </c>
      <c r="I157">
        <v>0.89</v>
      </c>
      <c r="J157" t="s">
        <v>24</v>
      </c>
      <c r="K157" t="s">
        <v>33</v>
      </c>
      <c r="L157">
        <v>3</v>
      </c>
      <c r="M157">
        <f>G157</f>
        <v>2.6309999999999998</v>
      </c>
      <c r="N157">
        <f>M157/L157</f>
        <v>0.87699999999999989</v>
      </c>
    </row>
    <row r="158" spans="1:16" x14ac:dyDescent="0.2">
      <c r="A158" t="s">
        <v>17</v>
      </c>
      <c r="B158">
        <v>0</v>
      </c>
      <c r="C158">
        <v>0.17</v>
      </c>
      <c r="D158">
        <v>1.4E-3</v>
      </c>
      <c r="E158">
        <v>0.83799999999999997</v>
      </c>
      <c r="F158">
        <v>8.0000000000000002E-3</v>
      </c>
    </row>
    <row r="159" spans="1:16" x14ac:dyDescent="0.2">
      <c r="P159" t="s">
        <v>52</v>
      </c>
    </row>
    <row r="160" spans="1:16" x14ac:dyDescent="0.2">
      <c r="B160">
        <v>0.81699999999999995</v>
      </c>
      <c r="C160">
        <v>490.29</v>
      </c>
      <c r="D160">
        <v>9.2399999999999999E-3</v>
      </c>
      <c r="E160">
        <v>5.5439999999999996</v>
      </c>
      <c r="F160">
        <v>7.9000000000000001E-2</v>
      </c>
      <c r="G160">
        <v>0.78400000000000003</v>
      </c>
      <c r="H160">
        <v>100</v>
      </c>
      <c r="I160">
        <v>0.89</v>
      </c>
      <c r="J160" t="s">
        <v>24</v>
      </c>
      <c r="K160" t="s">
        <v>33</v>
      </c>
      <c r="L160">
        <v>3</v>
      </c>
      <c r="M160">
        <f>G160</f>
        <v>0.78400000000000003</v>
      </c>
      <c r="N160">
        <f>M160/L160</f>
        <v>0.26133333333333336</v>
      </c>
      <c r="P160">
        <f>SUM(M136, M139, M142, M145, M148, M151, M154, M157, M160)</f>
        <v>21.896999999999998</v>
      </c>
    </row>
    <row r="161" spans="1:15" x14ac:dyDescent="0.2">
      <c r="A161" t="s">
        <v>17</v>
      </c>
      <c r="B161">
        <v>1E-3</v>
      </c>
      <c r="C161">
        <v>0.34</v>
      </c>
      <c r="D161">
        <v>1.98E-3</v>
      </c>
      <c r="E161">
        <v>1.1910000000000001</v>
      </c>
      <c r="F161">
        <v>8.9999999999999993E-3</v>
      </c>
    </row>
    <row r="163" spans="1:15" x14ac:dyDescent="0.2">
      <c r="B163">
        <v>0.73599999999999999</v>
      </c>
      <c r="C163">
        <v>441.46</v>
      </c>
      <c r="D163">
        <v>6.9699999999999996E-3</v>
      </c>
      <c r="E163">
        <v>4.1849999999999996</v>
      </c>
      <c r="F163">
        <v>4.3999999999999997E-2</v>
      </c>
      <c r="G163">
        <v>0.32500000000000001</v>
      </c>
      <c r="H163">
        <v>100</v>
      </c>
    </row>
    <row r="164" spans="1:15" x14ac:dyDescent="0.2">
      <c r="A164" t="s">
        <v>17</v>
      </c>
      <c r="B164">
        <v>1E-3</v>
      </c>
      <c r="C164">
        <v>0.42</v>
      </c>
      <c r="D164">
        <v>2.4299999999999999E-3</v>
      </c>
      <c r="E164">
        <v>1.4570000000000001</v>
      </c>
      <c r="F164">
        <v>8.9999999999999993E-3</v>
      </c>
    </row>
    <row r="166" spans="1:15" x14ac:dyDescent="0.2">
      <c r="B166">
        <v>0.71799999999999997</v>
      </c>
      <c r="C166">
        <v>430.98</v>
      </c>
      <c r="D166">
        <v>7.77E-3</v>
      </c>
      <c r="E166">
        <v>4.6619999999999999</v>
      </c>
      <c r="F166">
        <v>4.1000000000000002E-2</v>
      </c>
      <c r="G166">
        <v>0.33700000000000002</v>
      </c>
      <c r="H166">
        <v>100</v>
      </c>
    </row>
    <row r="167" spans="1:15" x14ac:dyDescent="0.2">
      <c r="A167" t="s">
        <v>17</v>
      </c>
      <c r="B167">
        <v>1E-3</v>
      </c>
      <c r="C167">
        <v>0.52</v>
      </c>
      <c r="D167">
        <v>4.1000000000000003E-3</v>
      </c>
      <c r="E167">
        <v>2.4569999999999999</v>
      </c>
      <c r="F167">
        <v>1.2E-2</v>
      </c>
    </row>
    <row r="169" spans="1:15" x14ac:dyDescent="0.2">
      <c r="B169">
        <v>0.70399999999999996</v>
      </c>
      <c r="C169">
        <v>422.49</v>
      </c>
      <c r="D169">
        <v>3.3459999999999997E-2</v>
      </c>
      <c r="E169">
        <v>20.079999999999998</v>
      </c>
      <c r="F169">
        <v>4.2000000000000003E-2</v>
      </c>
      <c r="G169">
        <v>1.504</v>
      </c>
      <c r="H169">
        <v>100</v>
      </c>
    </row>
    <row r="170" spans="1:15" x14ac:dyDescent="0.2">
      <c r="A170" t="s">
        <v>17</v>
      </c>
      <c r="B170">
        <v>4.0000000000000001E-3</v>
      </c>
      <c r="C170">
        <v>2.42</v>
      </c>
      <c r="D170">
        <v>8.43E-3</v>
      </c>
      <c r="E170">
        <v>5.0570000000000004</v>
      </c>
      <c r="F170">
        <v>6.0000000000000001E-3</v>
      </c>
    </row>
    <row r="173" spans="1:15" x14ac:dyDescent="0.2">
      <c r="K173" t="s">
        <v>27</v>
      </c>
      <c r="L173" t="s">
        <v>55</v>
      </c>
      <c r="M173" t="s">
        <v>34</v>
      </c>
      <c r="N173" t="s">
        <v>53</v>
      </c>
      <c r="O173" t="s">
        <v>54</v>
      </c>
    </row>
    <row r="174" spans="1:15" x14ac:dyDescent="0.2">
      <c r="J174" t="s">
        <v>24</v>
      </c>
      <c r="K174">
        <v>2</v>
      </c>
      <c r="L174">
        <v>12.52</v>
      </c>
      <c r="M174">
        <v>15.166999999999998</v>
      </c>
      <c r="N174">
        <f>M174/K174</f>
        <v>7.583499999999999</v>
      </c>
      <c r="O174">
        <f>N174/L174</f>
        <v>0.60571086261980822</v>
      </c>
    </row>
    <row r="175" spans="1:15" x14ac:dyDescent="0.2">
      <c r="J175" t="s">
        <v>25</v>
      </c>
      <c r="K175">
        <v>3</v>
      </c>
      <c r="L175">
        <v>13.77</v>
      </c>
      <c r="M175">
        <v>20.295999999999999</v>
      </c>
      <c r="N175">
        <f t="shared" ref="N175:O180" si="0">M175/K175</f>
        <v>6.7653333333333334</v>
      </c>
      <c r="O175">
        <f t="shared" si="0"/>
        <v>0.49130961026385866</v>
      </c>
    </row>
    <row r="176" spans="1:15" x14ac:dyDescent="0.2">
      <c r="J176" t="s">
        <v>24</v>
      </c>
      <c r="K176">
        <v>2</v>
      </c>
      <c r="L176">
        <v>12.52</v>
      </c>
      <c r="M176">
        <v>10.647</v>
      </c>
      <c r="N176">
        <f t="shared" si="0"/>
        <v>5.3235000000000001</v>
      </c>
      <c r="O176">
        <f t="shared" si="0"/>
        <v>0.42519968051118212</v>
      </c>
    </row>
    <row r="177" spans="10:15" x14ac:dyDescent="0.2">
      <c r="J177" t="s">
        <v>22</v>
      </c>
      <c r="K177">
        <v>3</v>
      </c>
      <c r="L177">
        <v>10</v>
      </c>
      <c r="M177">
        <v>24.067</v>
      </c>
      <c r="N177">
        <f t="shared" si="0"/>
        <v>8.022333333333334</v>
      </c>
      <c r="O177">
        <f t="shared" si="0"/>
        <v>0.80223333333333335</v>
      </c>
    </row>
    <row r="178" spans="10:15" x14ac:dyDescent="0.2">
      <c r="J178" t="s">
        <v>23</v>
      </c>
      <c r="K178">
        <v>3</v>
      </c>
      <c r="L178">
        <v>10</v>
      </c>
      <c r="M178">
        <v>11.809999999999999</v>
      </c>
      <c r="N178">
        <f t="shared" si="0"/>
        <v>3.9366666666666661</v>
      </c>
      <c r="O178">
        <f t="shared" si="0"/>
        <v>0.39366666666666661</v>
      </c>
    </row>
    <row r="179" spans="10:15" x14ac:dyDescent="0.2">
      <c r="J179" t="s">
        <v>24</v>
      </c>
      <c r="K179">
        <v>3</v>
      </c>
      <c r="L179">
        <v>12.52</v>
      </c>
      <c r="M179">
        <v>21.896999999999998</v>
      </c>
      <c r="N179">
        <f t="shared" si="0"/>
        <v>7.2989999999999995</v>
      </c>
      <c r="O179">
        <f t="shared" si="0"/>
        <v>0.58298722044728435</v>
      </c>
    </row>
    <row r="180" spans="10:15" x14ac:dyDescent="0.2">
      <c r="J180" t="s">
        <v>56</v>
      </c>
      <c r="K180">
        <v>5</v>
      </c>
      <c r="L180">
        <v>11.08</v>
      </c>
      <c r="M180">
        <f>SUM(M176:M177)</f>
        <v>34.713999999999999</v>
      </c>
      <c r="N180">
        <f t="shared" si="0"/>
        <v>6.9428000000000001</v>
      </c>
      <c r="O180">
        <f t="shared" si="0"/>
        <v>0.62660649819494585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FDD8-A55E-D246-82D1-720511CEABCB}">
  <dimension ref="A1:F19"/>
  <sheetViews>
    <sheetView workbookViewId="0">
      <selection activeCell="F17" sqref="F17:F19"/>
    </sheetView>
  </sheetViews>
  <sheetFormatPr baseColWidth="10" defaultRowHeight="16" x14ac:dyDescent="0.2"/>
  <sheetData>
    <row r="1" spans="1:6" x14ac:dyDescent="0.2">
      <c r="A1" t="s">
        <v>63</v>
      </c>
    </row>
    <row r="2" spans="1:6" x14ac:dyDescent="0.2">
      <c r="A2" s="9" t="s">
        <v>60</v>
      </c>
      <c r="B2" s="9" t="s">
        <v>51</v>
      </c>
      <c r="C2" s="2" t="s">
        <v>66</v>
      </c>
      <c r="D2" s="2" t="s">
        <v>34</v>
      </c>
      <c r="E2" s="2" t="s">
        <v>67</v>
      </c>
      <c r="F2" s="2" t="s">
        <v>68</v>
      </c>
    </row>
    <row r="3" spans="1:6" x14ac:dyDescent="0.2">
      <c r="A3" s="8">
        <v>4.24</v>
      </c>
      <c r="B3" t="s">
        <v>39</v>
      </c>
      <c r="C3">
        <v>1</v>
      </c>
      <c r="D3">
        <v>1</v>
      </c>
      <c r="E3">
        <f>D3/C3</f>
        <v>1</v>
      </c>
      <c r="F3">
        <f>E3/SUM(E$3:E$5)</f>
        <v>0.21173730458411266</v>
      </c>
    </row>
    <row r="4" spans="1:6" x14ac:dyDescent="0.2">
      <c r="A4" s="8">
        <v>3.58</v>
      </c>
      <c r="B4" t="s">
        <v>39</v>
      </c>
      <c r="C4">
        <v>1</v>
      </c>
      <c r="D4">
        <v>1.8678999999999999</v>
      </c>
      <c r="E4">
        <f t="shared" ref="E4:E5" si="0">D4/C4</f>
        <v>1.8678999999999999</v>
      </c>
      <c r="F4">
        <f t="shared" ref="F4:F5" si="1">E4/SUM(E$3:E$5)</f>
        <v>0.39550411123266399</v>
      </c>
    </row>
    <row r="5" spans="1:6" x14ac:dyDescent="0.2">
      <c r="A5" s="8">
        <v>1.32</v>
      </c>
      <c r="B5" t="s">
        <v>39</v>
      </c>
      <c r="C5">
        <v>3</v>
      </c>
      <c r="D5">
        <v>5.5648</v>
      </c>
      <c r="E5">
        <f t="shared" si="0"/>
        <v>1.8549333333333333</v>
      </c>
      <c r="F5">
        <f t="shared" si="1"/>
        <v>0.39275858418322335</v>
      </c>
    </row>
    <row r="8" spans="1:6" x14ac:dyDescent="0.2">
      <c r="A8" t="s">
        <v>64</v>
      </c>
    </row>
    <row r="9" spans="1:6" x14ac:dyDescent="0.2">
      <c r="A9" s="9" t="s">
        <v>60</v>
      </c>
      <c r="B9" s="9" t="s">
        <v>51</v>
      </c>
      <c r="C9" s="2" t="s">
        <v>66</v>
      </c>
      <c r="D9" s="2" t="s">
        <v>34</v>
      </c>
      <c r="E9" s="2" t="s">
        <v>67</v>
      </c>
      <c r="F9" s="2" t="s">
        <v>68</v>
      </c>
    </row>
    <row r="10" spans="1:6" x14ac:dyDescent="0.2">
      <c r="A10" s="8">
        <v>4.24</v>
      </c>
      <c r="B10" t="s">
        <v>39</v>
      </c>
      <c r="C10">
        <v>1</v>
      </c>
      <c r="D10">
        <v>0.14829999999999999</v>
      </c>
      <c r="E10">
        <f>D10/C10</f>
        <v>0.14829999999999999</v>
      </c>
      <c r="F10">
        <f>E10/SUM(E$10:E$12)</f>
        <v>0.2403695499486736</v>
      </c>
    </row>
    <row r="11" spans="1:6" x14ac:dyDescent="0.2">
      <c r="A11" s="8">
        <v>3.58</v>
      </c>
      <c r="B11" t="s">
        <v>39</v>
      </c>
      <c r="C11">
        <v>1</v>
      </c>
      <c r="D11">
        <v>0.2329</v>
      </c>
      <c r="E11">
        <f t="shared" ref="E11:E12" si="2">D11/C11</f>
        <v>0.2329</v>
      </c>
      <c r="F11">
        <f t="shared" ref="F11:F12" si="3">E11/SUM(E$10:E$12)</f>
        <v>0.37749203090388461</v>
      </c>
    </row>
    <row r="12" spans="1:6" x14ac:dyDescent="0.2">
      <c r="A12" s="8">
        <v>1.32</v>
      </c>
      <c r="B12" t="s">
        <v>39</v>
      </c>
      <c r="C12">
        <v>3</v>
      </c>
      <c r="D12">
        <v>0.70730000000000004</v>
      </c>
      <c r="E12">
        <f t="shared" si="2"/>
        <v>0.23576666666666668</v>
      </c>
      <c r="F12">
        <f t="shared" si="3"/>
        <v>0.38213841914744179</v>
      </c>
    </row>
    <row r="15" spans="1:6" x14ac:dyDescent="0.2">
      <c r="A15" t="s">
        <v>65</v>
      </c>
    </row>
    <row r="16" spans="1:6" x14ac:dyDescent="0.2">
      <c r="A16" s="9" t="s">
        <v>60</v>
      </c>
      <c r="B16" s="9" t="s">
        <v>51</v>
      </c>
      <c r="C16" s="2" t="s">
        <v>66</v>
      </c>
      <c r="D16" s="2" t="s">
        <v>34</v>
      </c>
      <c r="E16" s="2" t="s">
        <v>67</v>
      </c>
      <c r="F16" s="2" t="s">
        <v>68</v>
      </c>
    </row>
    <row r="17" spans="1:6" x14ac:dyDescent="0.2">
      <c r="A17" s="8">
        <v>4.24</v>
      </c>
      <c r="B17" t="s">
        <v>39</v>
      </c>
      <c r="C17">
        <v>1</v>
      </c>
      <c r="D17">
        <v>0.2452</v>
      </c>
      <c r="E17">
        <f>D17/C17</f>
        <v>0.2452</v>
      </c>
      <c r="F17">
        <f>E17/SUM(E$17:E$19)</f>
        <v>0.38025329542517444</v>
      </c>
    </row>
    <row r="18" spans="1:6" x14ac:dyDescent="0.2">
      <c r="A18" s="8">
        <v>3.58</v>
      </c>
      <c r="B18" t="s">
        <v>39</v>
      </c>
      <c r="C18">
        <v>1</v>
      </c>
      <c r="D18">
        <v>0.23169999999999999</v>
      </c>
      <c r="E18">
        <f t="shared" ref="E18:E19" si="4">D18/C18</f>
        <v>0.23169999999999999</v>
      </c>
      <c r="F18">
        <f t="shared" ref="F18:F19" si="5">E18/SUM(E$17:E$19)</f>
        <v>0.3593176531403463</v>
      </c>
    </row>
    <row r="19" spans="1:6" x14ac:dyDescent="0.2">
      <c r="A19" s="8">
        <v>1.32</v>
      </c>
      <c r="B19" t="s">
        <v>39</v>
      </c>
      <c r="C19">
        <v>3</v>
      </c>
      <c r="D19">
        <v>0.50380000000000003</v>
      </c>
      <c r="E19">
        <f t="shared" si="4"/>
        <v>0.16793333333333335</v>
      </c>
      <c r="F19">
        <f t="shared" si="5"/>
        <v>0.2604290514344792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143E-39DA-DA4D-8211-530FEE74C073}">
  <dimension ref="A1:I18"/>
  <sheetViews>
    <sheetView tabSelected="1" workbookViewId="0">
      <selection activeCell="F2" sqref="F2"/>
    </sheetView>
  </sheetViews>
  <sheetFormatPr baseColWidth="10" defaultRowHeight="16" x14ac:dyDescent="0.2"/>
  <cols>
    <col min="2" max="2" width="16.83203125" customWidth="1"/>
  </cols>
  <sheetData>
    <row r="1" spans="1:9" x14ac:dyDescent="0.2">
      <c r="A1" s="2"/>
      <c r="B1" s="2"/>
      <c r="C1" s="12" t="s">
        <v>58</v>
      </c>
      <c r="D1" s="12"/>
      <c r="E1" s="12"/>
      <c r="F1" s="12" t="s">
        <v>72</v>
      </c>
      <c r="G1" s="12"/>
      <c r="H1" s="12"/>
    </row>
    <row r="2" spans="1:9" x14ac:dyDescent="0.2">
      <c r="A2" s="9" t="s">
        <v>60</v>
      </c>
      <c r="B2" s="9" t="s">
        <v>51</v>
      </c>
      <c r="C2" s="9" t="s">
        <v>45</v>
      </c>
      <c r="D2" s="9" t="s">
        <v>46</v>
      </c>
      <c r="E2" s="9" t="s">
        <v>47</v>
      </c>
      <c r="F2" s="9" t="s">
        <v>45</v>
      </c>
      <c r="G2" s="9" t="s">
        <v>46</v>
      </c>
      <c r="H2" s="9" t="s">
        <v>47</v>
      </c>
      <c r="I2" s="9" t="s">
        <v>62</v>
      </c>
    </row>
    <row r="3" spans="1:9" x14ac:dyDescent="0.2">
      <c r="A3" s="8">
        <v>2.17</v>
      </c>
      <c r="B3" t="s">
        <v>24</v>
      </c>
      <c r="C3">
        <v>0.55007987220447285</v>
      </c>
      <c r="D3">
        <v>0.5725638977635783</v>
      </c>
      <c r="E3">
        <v>0.60571086261980822</v>
      </c>
      <c r="F3">
        <f>C3/SUM(C$3:C$7)</f>
        <v>0.21657704028423727</v>
      </c>
      <c r="G3">
        <f t="shared" ref="G3:H7" si="0">D3/SUM(D$3:D$7)</f>
        <v>0.22238787310028513</v>
      </c>
      <c r="H3">
        <f t="shared" si="0"/>
        <v>0.22431402303286385</v>
      </c>
      <c r="I3" s="2">
        <f>SUM(F3:H3)/3</f>
        <v>0.2210929788057954</v>
      </c>
    </row>
    <row r="4" spans="1:9" x14ac:dyDescent="0.2">
      <c r="A4" s="8">
        <v>1.91</v>
      </c>
      <c r="B4" t="s">
        <v>25</v>
      </c>
      <c r="C4">
        <v>0.51505688695231178</v>
      </c>
      <c r="D4">
        <v>0.50672960542241596</v>
      </c>
      <c r="E4">
        <v>0.49130961026385866</v>
      </c>
      <c r="F4">
        <f t="shared" ref="F4:F7" si="1">C4/SUM(C$3:C$7)</f>
        <v>0.20278781644400917</v>
      </c>
      <c r="G4">
        <f t="shared" si="0"/>
        <v>0.1968173676807155</v>
      </c>
      <c r="H4">
        <f t="shared" si="0"/>
        <v>0.18194759584849898</v>
      </c>
      <c r="I4" s="2">
        <f t="shared" ref="I4:I7" si="2">SUM(F4:H4)/3</f>
        <v>0.1938509266577412</v>
      </c>
    </row>
    <row r="5" spans="1:9" x14ac:dyDescent="0.2">
      <c r="A5" s="8" t="s">
        <v>61</v>
      </c>
      <c r="B5" t="s">
        <v>59</v>
      </c>
      <c r="C5">
        <v>0.57400722021660655</v>
      </c>
      <c r="D5">
        <v>0.59245487364620941</v>
      </c>
      <c r="E5">
        <v>0.62660649819494585</v>
      </c>
      <c r="F5">
        <f t="shared" si="1"/>
        <v>0.2259976980399033</v>
      </c>
      <c r="G5">
        <f t="shared" si="0"/>
        <v>0.23011366901180788</v>
      </c>
      <c r="H5">
        <f t="shared" si="0"/>
        <v>0.23205234236795855</v>
      </c>
      <c r="I5" s="2">
        <f t="shared" si="2"/>
        <v>0.22938790313988991</v>
      </c>
    </row>
    <row r="6" spans="1:9" x14ac:dyDescent="0.2">
      <c r="A6" s="8">
        <v>1.17</v>
      </c>
      <c r="B6" t="s">
        <v>23</v>
      </c>
      <c r="C6">
        <v>0.3904333333333333</v>
      </c>
      <c r="D6">
        <v>0.36743333333333333</v>
      </c>
      <c r="E6">
        <v>0.39366666666666661</v>
      </c>
      <c r="F6">
        <f t="shared" si="1"/>
        <v>0.15372112312120842</v>
      </c>
      <c r="G6">
        <f t="shared" si="0"/>
        <v>0.14271370902936098</v>
      </c>
      <c r="H6">
        <f t="shared" si="0"/>
        <v>0.14578730411404975</v>
      </c>
      <c r="I6" s="2">
        <f t="shared" si="2"/>
        <v>0.14740737875487306</v>
      </c>
    </row>
    <row r="7" spans="1:9" x14ac:dyDescent="0.2">
      <c r="A7" s="8">
        <v>0.89</v>
      </c>
      <c r="B7" t="s">
        <v>24</v>
      </c>
      <c r="C7">
        <v>0.51030351437699673</v>
      </c>
      <c r="D7">
        <v>0.53543663471778491</v>
      </c>
      <c r="E7">
        <v>0.58298722044728435</v>
      </c>
      <c r="F7">
        <f t="shared" si="1"/>
        <v>0.20091632211064203</v>
      </c>
      <c r="G7">
        <f t="shared" si="0"/>
        <v>0.20796738117783051</v>
      </c>
      <c r="H7">
        <f t="shared" si="0"/>
        <v>0.21589873463662865</v>
      </c>
      <c r="I7" s="2">
        <f t="shared" si="2"/>
        <v>0.2082608126417004</v>
      </c>
    </row>
    <row r="11" spans="1:9" x14ac:dyDescent="0.2">
      <c r="C11" s="12" t="s">
        <v>58</v>
      </c>
      <c r="D11" s="12"/>
      <c r="E11" s="12"/>
      <c r="F11" s="2"/>
    </row>
    <row r="12" spans="1:9" x14ac:dyDescent="0.2">
      <c r="B12" t="s">
        <v>69</v>
      </c>
      <c r="C12" s="9" t="s">
        <v>70</v>
      </c>
      <c r="D12" s="9" t="s">
        <v>70</v>
      </c>
      <c r="E12" s="9" t="s">
        <v>71</v>
      </c>
      <c r="F12" s="2"/>
    </row>
    <row r="13" spans="1:9" x14ac:dyDescent="0.2">
      <c r="A13" s="9" t="s">
        <v>60</v>
      </c>
      <c r="B13" s="9" t="s">
        <v>51</v>
      </c>
      <c r="C13" s="10">
        <v>44939</v>
      </c>
      <c r="D13" s="10">
        <v>44947</v>
      </c>
      <c r="E13" s="10">
        <v>44799</v>
      </c>
      <c r="F13" s="9"/>
    </row>
    <row r="14" spans="1:9" x14ac:dyDescent="0.2">
      <c r="A14" s="8">
        <v>4.24</v>
      </c>
      <c r="B14" t="s">
        <v>39</v>
      </c>
      <c r="C14">
        <v>0.21173730458411266</v>
      </c>
      <c r="D14">
        <v>0.2403695499486736</v>
      </c>
      <c r="E14">
        <v>0.38025329542517444</v>
      </c>
    </row>
    <row r="15" spans="1:9" x14ac:dyDescent="0.2">
      <c r="A15" s="8">
        <v>3.58</v>
      </c>
      <c r="B15" t="s">
        <v>39</v>
      </c>
      <c r="C15">
        <v>0.39550411123266399</v>
      </c>
      <c r="D15">
        <v>0.37749203090388461</v>
      </c>
      <c r="E15">
        <v>0.3593176531403463</v>
      </c>
    </row>
    <row r="16" spans="1:9" x14ac:dyDescent="0.2">
      <c r="A16" s="8">
        <v>1.32</v>
      </c>
      <c r="B16" t="s">
        <v>39</v>
      </c>
      <c r="C16">
        <v>0.39275858418322335</v>
      </c>
      <c r="D16">
        <v>0.38213841914744179</v>
      </c>
      <c r="E16">
        <v>0.2604290514344792</v>
      </c>
    </row>
    <row r="17" spans="1:1" x14ac:dyDescent="0.2">
      <c r="A17" s="8"/>
    </row>
    <row r="18" spans="1:1" x14ac:dyDescent="0.2">
      <c r="A18" s="8"/>
    </row>
  </sheetData>
  <mergeCells count="3">
    <mergeCell ref="C1:E1"/>
    <mergeCell ref="F1:H1"/>
    <mergeCell ref="C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Std A</vt:lpstr>
      <vt:lpstr>Std B</vt:lpstr>
      <vt:lpstr>Std C</vt:lpstr>
      <vt:lpstr>Threonine</vt:lpstr>
      <vt:lpstr>AVG</vt:lpstr>
      <vt:lpstr>'Std A'!Std1_integrals</vt:lpstr>
      <vt:lpstr>'Std B'!StdB_integrals</vt:lpstr>
      <vt:lpstr>'Std C'!StdC_integrals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2023-03-14T19:14:17Z</dcterms:created>
  <dcterms:modified xsi:type="dcterms:W3CDTF">2023-03-20T15:06:39Z</dcterms:modified>
</cp:coreProperties>
</file>