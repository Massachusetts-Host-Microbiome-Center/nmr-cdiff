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rea" sheetId="1" state="visible" r:id="rId2"/>
    <sheet name="area_percen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<sst xmlns="http://schemas.openxmlformats.org/spreadsheetml/2006/main" count="20" uniqueCount="10">
  <si>
    <t xml:space="preserve">Time</t>
  </si>
  <si>
    <t xml:space="preserve">Scans</t>
  </si>
  <si>
    <t xml:space="preserve">Glucose</t>
  </si>
  <si>
    <t xml:space="preserve">Acetate</t>
  </si>
  <si>
    <t xml:space="preserve">Alanine</t>
  </si>
  <si>
    <t xml:space="preserve">AlanineN15</t>
  </si>
  <si>
    <t xml:space="preserve">Butyrate</t>
  </si>
  <si>
    <t xml:space="preserve">Ethanol</t>
  </si>
  <si>
    <t xml:space="preserve">SUM</t>
  </si>
  <si>
    <t xml:space="preserve">Mannitol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</si>
</sst>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8359375" defaultRowHeight="13.8" zeroHeight="false" outlineLevelRow="0" outlineLevelCol="0"/>
  <cols>
    <col collapsed="false" customWidth="true" hidden="false" outlineLevel="0" max="6" min="6" style="0" width="15.87"/>
    <col collapsed="false" customWidth="true" hidden="false" outlineLevel="0" max="7" min="7" style="0" width="11.13"/>
    <col collapsed="false" customWidth="true" hidden="false" outlineLevel="0" max="10" min="9" style="0" width="9.3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  <c r="J1" s="1" t="s">
        <v>9</v>
      </c>
    </row>
    <row r="2" customFormat="false" ht="13.8" hidden="false" customHeight="false" outlineLevel="0" collapsed="false">
      <c r="A2" s="0" t="n">
        <v>0.653194444444444</v>
      </c>
      <c r="B2" s="0" t="n">
        <v>2048</v>
      </c>
      <c r="C2" s="0" t="n">
        <v>1567.428462355</v>
      </c>
      <c r="I2" s="0" t="n">
        <f aca="false">SUM(C2:H2)</f>
        <v>1567.428462355</v>
      </c>
      <c r="J2" s="0" t="n">
        <v>1567.428462355</v>
      </c>
    </row>
    <row r="3" customFormat="false" ht="13.8" hidden="false" customHeight="false" outlineLevel="0" collapsed="false">
      <c r="A3" s="0" t="n">
        <v>15.1533333333333</v>
      </c>
      <c r="B3" s="0" t="n">
        <v>2048</v>
      </c>
      <c r="C3" s="0" t="n">
        <v>1553.71142587071</v>
      </c>
      <c r="I3" s="0" t="n">
        <f aca="false">SUM(C3:H3)</f>
        <v>1553.71142587071</v>
      </c>
      <c r="J3" s="0" t="n">
        <v>1553.71142587071</v>
      </c>
    </row>
    <row r="4" customFormat="false" ht="13.8" hidden="false" customHeight="false" outlineLevel="0" collapsed="false">
      <c r="A4" s="0" t="n">
        <v>16.6911111111111</v>
      </c>
      <c r="B4" s="0" t="n">
        <v>1024</v>
      </c>
      <c r="C4" s="0" t="n">
        <v>1568.02523042405</v>
      </c>
      <c r="I4" s="0" t="n">
        <f aca="false">SUM(C4:H4)</f>
        <v>1568.02523042405</v>
      </c>
      <c r="J4" s="0" t="n">
        <v>1568.02523042405</v>
      </c>
    </row>
    <row r="5" customFormat="false" ht="13.8" hidden="false" customHeight="false" outlineLevel="0" collapsed="false">
      <c r="A5" s="0" t="n">
        <v>-24.8694444444444</v>
      </c>
      <c r="B5" s="0" t="n">
        <v>2048</v>
      </c>
      <c r="C5" s="0" t="n">
        <v>945.447044994449</v>
      </c>
      <c r="D5" s="0" t="n">
        <v>17.4200858997915</v>
      </c>
      <c r="E5" s="0" t="n">
        <v>95.5746197593994</v>
      </c>
      <c r="F5" s="0" t="n">
        <v>95.5746197593994</v>
      </c>
      <c r="I5" s="0" t="n">
        <f aca="false">SUM(C5:H5)</f>
        <v>1154.01637041304</v>
      </c>
      <c r="J5" s="0" t="n">
        <v>945.447044994449</v>
      </c>
    </row>
    <row r="6" customFormat="false" ht="13.8" hidden="false" customHeight="false" outlineLevel="0" collapsed="false">
      <c r="A6" s="0" t="n">
        <v>-4.87555555555556</v>
      </c>
      <c r="B6" s="0" t="n">
        <v>2048</v>
      </c>
      <c r="C6" s="0" t="n">
        <v>1153.84321415359</v>
      </c>
      <c r="D6" s="0" t="n">
        <v>21.1182760316156</v>
      </c>
      <c r="E6" s="0" t="n">
        <v>116.246539459522</v>
      </c>
      <c r="F6" s="0" t="n">
        <v>116.246539459522</v>
      </c>
      <c r="I6" s="0" t="n">
        <f aca="false">SUM(C6:H6)</f>
        <v>1407.45456910425</v>
      </c>
      <c r="J6" s="0" t="n">
        <v>1153.84321415359</v>
      </c>
    </row>
    <row r="7" customFormat="false" ht="13.8" hidden="false" customHeight="false" outlineLevel="0" collapsed="false">
      <c r="A7" s="0" t="n">
        <v>-2.33722222222222</v>
      </c>
      <c r="B7" s="0" t="n">
        <v>2048</v>
      </c>
      <c r="C7" s="0" t="n">
        <v>1092.63362976324</v>
      </c>
      <c r="D7" s="0" t="n">
        <v>20.7366087071107</v>
      </c>
      <c r="E7" s="0" t="n">
        <v>111.507763300604</v>
      </c>
      <c r="F7" s="0" t="n">
        <v>111.507763300604</v>
      </c>
      <c r="I7" s="0" t="n">
        <f aca="false">SUM(C7:H7)</f>
        <v>1336.38576507156</v>
      </c>
      <c r="J7" s="0" t="n">
        <v>1092.63362976324</v>
      </c>
    </row>
    <row r="8" customFormat="false" ht="13.8" hidden="false" customHeight="false" outlineLevel="0" collapsed="false">
      <c r="A8" s="0" t="n">
        <v>116.801111111111</v>
      </c>
      <c r="B8" s="0" t="n">
        <v>1024</v>
      </c>
      <c r="C8" s="0" t="n">
        <v>259.296837896017</v>
      </c>
      <c r="D8" s="0" t="n">
        <v>21.987467271205</v>
      </c>
      <c r="E8" s="0" t="n">
        <v>82.3915838757954</v>
      </c>
      <c r="F8" s="0" t="n">
        <v>82.3915838757954</v>
      </c>
      <c r="G8" s="0" t="n">
        <v>20.5127212973714</v>
      </c>
      <c r="H8" s="0" t="n">
        <v>5.62995662944771</v>
      </c>
      <c r="I8" s="0" t="n">
        <f aca="false">SUM(C8:H8)</f>
        <v>472.210150845632</v>
      </c>
      <c r="J8" s="0" t="n">
        <v>259.296837896017</v>
      </c>
    </row>
    <row r="9" customFormat="false" ht="13.8" hidden="false" customHeight="false" outlineLevel="0" collapsed="false">
      <c r="A9" s="0" t="n">
        <v>119.680555555556</v>
      </c>
      <c r="B9" s="0" t="n">
        <v>4096</v>
      </c>
      <c r="C9" s="0" t="n">
        <v>362.958148697012</v>
      </c>
      <c r="D9" s="0" t="n">
        <v>33.4671321764087</v>
      </c>
      <c r="E9" s="0" t="n">
        <v>105.26671547468</v>
      </c>
      <c r="F9" s="0" t="n">
        <v>105.26671547468</v>
      </c>
      <c r="G9" s="0" t="n">
        <v>39.066104038636</v>
      </c>
      <c r="H9" s="0" t="n">
        <v>13.951035982466</v>
      </c>
      <c r="I9" s="0" t="n">
        <f aca="false">SUM(C9:H9)</f>
        <v>659.975851843883</v>
      </c>
      <c r="J9" s="0" t="n">
        <v>362.958148697012</v>
      </c>
    </row>
    <row r="10" customFormat="false" ht="13.8" hidden="false" customHeight="false" outlineLevel="0" collapsed="false">
      <c r="A10" s="0" t="n">
        <v>135.582222222222</v>
      </c>
      <c r="B10" s="0" t="n">
        <v>1024</v>
      </c>
      <c r="C10" s="0" t="n">
        <v>137.45363812308</v>
      </c>
      <c r="D10" s="0" t="n">
        <v>12.9288961345177</v>
      </c>
      <c r="E10" s="0" t="n">
        <v>49.3731106090916</v>
      </c>
      <c r="F10" s="0" t="n">
        <v>49.3731106090916</v>
      </c>
      <c r="I10" s="0" t="n">
        <f aca="false">SUM(C10:H10)</f>
        <v>249.128755475781</v>
      </c>
      <c r="J10" s="0" t="n">
        <v>137.45363812308</v>
      </c>
    </row>
    <row r="11" customFormat="false" ht="13.8" hidden="false" customHeight="false" outlineLevel="0" collapsed="false">
      <c r="A11" s="0" t="n">
        <v>91.8377777777778</v>
      </c>
      <c r="B11" s="0" t="n">
        <v>1024</v>
      </c>
      <c r="C11" s="0" t="n">
        <v>296.633819821446</v>
      </c>
      <c r="D11" s="0" t="n">
        <v>66.5201345548079</v>
      </c>
      <c r="E11" s="0" t="n">
        <v>223.270365446438</v>
      </c>
      <c r="F11" s="0" t="n">
        <v>223.270365446438</v>
      </c>
      <c r="G11" s="0" t="n">
        <v>110.207506972571</v>
      </c>
      <c r="H11" s="0" t="n">
        <v>48.5201751424294</v>
      </c>
      <c r="I11" s="0" t="n">
        <f aca="false">SUM(C11:H11)</f>
        <v>968.42236738413</v>
      </c>
      <c r="J11" s="0" t="n">
        <v>296.633819821446</v>
      </c>
    </row>
    <row r="12" customFormat="false" ht="13.8" hidden="false" customHeight="false" outlineLevel="0" collapsed="false">
      <c r="A12" s="0" t="n">
        <v>93.0961111111111</v>
      </c>
      <c r="B12" s="0" t="n">
        <v>1024</v>
      </c>
      <c r="C12" s="0" t="n">
        <v>177.051479342266</v>
      </c>
      <c r="D12" s="0" t="n">
        <v>38.7382209261218</v>
      </c>
      <c r="E12" s="0" t="n">
        <v>144.115193275774</v>
      </c>
      <c r="F12" s="0" t="n">
        <v>144.115193275774</v>
      </c>
      <c r="G12" s="0" t="n">
        <v>72.6485308500303</v>
      </c>
      <c r="H12" s="0" t="n">
        <v>33.0523560793601</v>
      </c>
      <c r="I12" s="0" t="n">
        <f aca="false">SUM(C12:H12)</f>
        <v>609.720973749326</v>
      </c>
      <c r="J12" s="0" t="n">
        <v>177.051479342266</v>
      </c>
    </row>
    <row r="13" customFormat="false" ht="13.8" hidden="false" customHeight="false" outlineLevel="0" collapsed="false">
      <c r="A13" s="0" t="n">
        <v>96.0861111111111</v>
      </c>
      <c r="B13" s="0" t="n">
        <v>4096</v>
      </c>
      <c r="C13" s="0" t="n">
        <v>223.413624898204</v>
      </c>
      <c r="D13" s="0" t="n">
        <v>49.8165853184745</v>
      </c>
      <c r="E13" s="0" t="n">
        <v>163.728454085505</v>
      </c>
      <c r="F13" s="0" t="n">
        <v>163.728454085505</v>
      </c>
      <c r="G13" s="0" t="n">
        <v>87.0419464464644</v>
      </c>
      <c r="H13" s="0" t="n">
        <v>39.7685446491453</v>
      </c>
      <c r="I13" s="0" t="n">
        <f aca="false">SUM(C13:H13)</f>
        <v>727.497609483298</v>
      </c>
      <c r="J13" s="0" t="n">
        <v>223.413624898204</v>
      </c>
    </row>
    <row r="14" customFormat="false" ht="13.8" hidden="false" customHeight="false" outlineLevel="0" collapsed="false">
      <c r="A14" s="0" t="n">
        <v>72.4872222222222</v>
      </c>
      <c r="B14" s="0" t="n">
        <v>2048</v>
      </c>
      <c r="C14" s="0" t="n">
        <v>149.974286297101</v>
      </c>
      <c r="D14" s="0" t="n">
        <v>73.9472331303321</v>
      </c>
      <c r="E14" s="0" t="n">
        <v>221.392212333072</v>
      </c>
      <c r="F14" s="0" t="n">
        <v>221.392212333072</v>
      </c>
      <c r="G14" s="0" t="n">
        <v>173.966438465379</v>
      </c>
      <c r="H14" s="0" t="n">
        <v>76.1646021964579</v>
      </c>
      <c r="I14" s="0" t="n">
        <f aca="false">SUM(C14:H14)</f>
        <v>916.836984755414</v>
      </c>
      <c r="J14" s="0" t="n">
        <v>149.974286297101</v>
      </c>
    </row>
    <row r="15" customFormat="false" ht="13.8" hidden="false" customHeight="false" outlineLevel="0" collapsed="false">
      <c r="A15" s="0" t="n">
        <v>89.3141666666667</v>
      </c>
      <c r="B15" s="0" t="n">
        <v>1024</v>
      </c>
      <c r="C15" s="0" t="n">
        <v>120.442139978298</v>
      </c>
      <c r="D15" s="0" t="n">
        <v>66.4630434801641</v>
      </c>
      <c r="E15" s="0" t="n">
        <v>218.228657668343</v>
      </c>
      <c r="F15" s="0" t="n">
        <v>218.228657668343</v>
      </c>
      <c r="G15" s="0" t="n">
        <v>144.208553130134</v>
      </c>
      <c r="H15" s="0" t="n">
        <v>60.0440141873011</v>
      </c>
      <c r="I15" s="0" t="n">
        <f aca="false">SUM(C15:H15)</f>
        <v>827.615066112583</v>
      </c>
      <c r="J15" s="0" t="n">
        <v>120.442139978298</v>
      </c>
    </row>
    <row r="16" customFormat="false" ht="13.8" hidden="false" customHeight="false" outlineLevel="0" collapsed="false">
      <c r="A16" s="0" t="n">
        <v>90.5220833333333</v>
      </c>
      <c r="B16" s="0" t="n">
        <v>1024</v>
      </c>
      <c r="C16" s="0" t="n">
        <v>131.949543011465</v>
      </c>
      <c r="D16" s="0" t="n">
        <v>66.5098665517894</v>
      </c>
      <c r="E16" s="0" t="n">
        <v>226.845000715424</v>
      </c>
      <c r="F16" s="0" t="n">
        <v>226.845000715424</v>
      </c>
      <c r="G16" s="0" t="n">
        <v>158.683909891538</v>
      </c>
      <c r="H16" s="0" t="n">
        <v>65.5427369689894</v>
      </c>
      <c r="I16" s="0" t="n">
        <f aca="false">SUM(C16:H16)</f>
        <v>876.37605785463</v>
      </c>
      <c r="J16" s="0" t="n">
        <v>131.949543011465</v>
      </c>
    </row>
    <row r="17" customFormat="false" ht="13.8" hidden="false" customHeight="false" outlineLevel="0" collapsed="false">
      <c r="A17" s="0" t="n">
        <v>65.6222222222222</v>
      </c>
      <c r="B17" s="0" t="n">
        <v>4096</v>
      </c>
      <c r="C17" s="0" t="n">
        <v>571.243113887894</v>
      </c>
      <c r="D17" s="0" t="n">
        <v>55.5705343779997</v>
      </c>
      <c r="E17" s="0" t="n">
        <v>180.037836744759</v>
      </c>
      <c r="F17" s="0" t="n">
        <v>180.037836744759</v>
      </c>
      <c r="G17" s="0" t="n">
        <v>290.871968072766</v>
      </c>
      <c r="H17" s="0" t="n">
        <v>119.191164480306</v>
      </c>
      <c r="I17" s="0" t="n">
        <f aca="false">SUM(C17:H17)</f>
        <v>1396.95245430848</v>
      </c>
      <c r="J17" s="0" t="n">
        <v>571.243113887894</v>
      </c>
    </row>
    <row r="18" customFormat="false" ht="13.8" hidden="false" customHeight="false" outlineLevel="0" collapsed="false">
      <c r="A18" s="0" t="n">
        <v>69.125</v>
      </c>
      <c r="B18" s="0" t="n">
        <v>1024</v>
      </c>
      <c r="C18" s="0" t="n">
        <v>548.701130647486</v>
      </c>
      <c r="D18" s="0" t="n">
        <v>53.6216558502283</v>
      </c>
      <c r="E18" s="0" t="n">
        <v>167.561751804962</v>
      </c>
      <c r="F18" s="0" t="n">
        <v>167.561751804962</v>
      </c>
      <c r="G18" s="0" t="n">
        <v>285.034556698569</v>
      </c>
      <c r="H18" s="0" t="n">
        <v>115.556725816792</v>
      </c>
      <c r="I18" s="0" t="n">
        <f aca="false">SUM(C18:H18)</f>
        <v>1338.037572623</v>
      </c>
      <c r="J18" s="0" t="n">
        <v>548.701130647486</v>
      </c>
    </row>
    <row r="19" customFormat="false" ht="13.8" hidden="false" customHeight="false" outlineLevel="0" collapsed="false">
      <c r="A19" s="0" t="n">
        <v>70.4906944444444</v>
      </c>
      <c r="B19" s="0" t="n">
        <v>1024</v>
      </c>
      <c r="C19" s="0" t="n">
        <v>534.197072224521</v>
      </c>
      <c r="D19" s="0" t="n">
        <v>54.1528976069223</v>
      </c>
      <c r="E19" s="0" t="n">
        <v>159.997676649557</v>
      </c>
      <c r="F19" s="0" t="n">
        <v>159.997676649557</v>
      </c>
      <c r="G19" s="0" t="n">
        <v>275.917525457876</v>
      </c>
      <c r="H19" s="0" t="n">
        <v>113.007063625925</v>
      </c>
      <c r="I19" s="0" t="n">
        <f aca="false">SUM(C19:H19)</f>
        <v>1297.26991221436</v>
      </c>
      <c r="J19" s="0" t="n">
        <v>534.197072224521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8359375" defaultRowHeight="13.8" zeroHeight="false" outlineLevelRow="0" outlineLevelCol="0"/>
  <cols>
    <col collapsed="false" customWidth="true" hidden="false" outlineLevel="0" max="6" min="6" style="0" width="15.87"/>
    <col collapsed="false" customWidth="true" hidden="false" outlineLevel="0" max="7" min="7" style="0" width="11.13"/>
    <col collapsed="false" customWidth="true" hidden="false" outlineLevel="0" max="9" min="9" style="0" width="9.3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n">
        <v>0.653194444444444</v>
      </c>
      <c r="B2" s="0" t="n">
        <v>2048</v>
      </c>
      <c r="C2" s="0" t="n">
        <f aca="false">area!C2/area!$I2</f>
        <v>1</v>
      </c>
      <c r="D2" s="0" t="n">
        <f aca="false">area!D2/area!$I2</f>
        <v>0</v>
      </c>
      <c r="E2" s="0" t="n">
        <f aca="false">area!E2/area!$I2</f>
        <v>0</v>
      </c>
      <c r="F2" s="0" t="n">
        <f aca="false">area!F2/area!$I2</f>
        <v>0</v>
      </c>
      <c r="G2" s="0" t="n">
        <f aca="false">area!G2/area!$I2</f>
        <v>0</v>
      </c>
      <c r="H2" s="0" t="n">
        <f aca="false">area!H2/area!$I2</f>
        <v>0</v>
      </c>
      <c r="I2" s="0" t="n">
        <f aca="false">area!I2/area!$I2</f>
        <v>1</v>
      </c>
      <c r="J2" s="0" t="n">
        <f aca="false">area!J2/area!$I$2</f>
        <v>1</v>
      </c>
    </row>
    <row r="3" customFormat="false" ht="13.8" hidden="false" customHeight="false" outlineLevel="0" collapsed="false">
      <c r="A3" s="0" t="n">
        <v>15.1533333333333</v>
      </c>
      <c r="B3" s="0" t="n">
        <v>2048</v>
      </c>
      <c r="C3" s="0" t="n">
        <f aca="false">area!C3/area!$I3</f>
        <v>1</v>
      </c>
      <c r="D3" s="0" t="n">
        <f aca="false">area!D3/area!$I3</f>
        <v>0</v>
      </c>
      <c r="E3" s="0" t="n">
        <f aca="false">area!E3/area!$I3</f>
        <v>0</v>
      </c>
      <c r="F3" s="0" t="n">
        <f aca="false">area!F3/area!$I3</f>
        <v>0</v>
      </c>
      <c r="G3" s="0" t="n">
        <f aca="false">area!G3/area!$I3</f>
        <v>0</v>
      </c>
      <c r="H3" s="0" t="n">
        <f aca="false">area!H3/area!$I3</f>
        <v>0</v>
      </c>
      <c r="I3" s="0" t="n">
        <f aca="false">area!I3/area!$I3</f>
        <v>1</v>
      </c>
      <c r="J3" s="0" t="n">
        <f aca="false">area!J3/area!$I$2</f>
        <v>0.991248700139284</v>
      </c>
    </row>
    <row r="4" customFormat="false" ht="13.8" hidden="false" customHeight="false" outlineLevel="0" collapsed="false">
      <c r="A4" s="0" t="n">
        <v>16.6911111111111</v>
      </c>
      <c r="B4" s="0" t="n">
        <v>1024</v>
      </c>
      <c r="C4" s="0" t="n">
        <f aca="false">area!C4/area!$I4</f>
        <v>1</v>
      </c>
      <c r="D4" s="0" t="n">
        <f aca="false">area!D4/area!$I4</f>
        <v>0</v>
      </c>
      <c r="E4" s="0" t="n">
        <f aca="false">area!E4/area!$I4</f>
        <v>0</v>
      </c>
      <c r="F4" s="0" t="n">
        <f aca="false">area!F4/area!$I4</f>
        <v>0</v>
      </c>
      <c r="G4" s="0" t="n">
        <f aca="false">area!G4/area!$I4</f>
        <v>0</v>
      </c>
      <c r="H4" s="0" t="n">
        <f aca="false">area!H4/area!$I4</f>
        <v>0</v>
      </c>
      <c r="I4" s="0" t="n">
        <f aca="false">area!I4/area!$I4</f>
        <v>1</v>
      </c>
      <c r="J4" s="0" t="n">
        <f aca="false">area!J4/area!$I$2</f>
        <v>1.0003807306575</v>
      </c>
    </row>
    <row r="5" customFormat="false" ht="13.8" hidden="false" customHeight="false" outlineLevel="0" collapsed="false">
      <c r="A5" s="0" t="n">
        <v>-24.8694444444444</v>
      </c>
      <c r="B5" s="0" t="n">
        <v>2048</v>
      </c>
      <c r="C5" s="0" t="n">
        <f aca="false">area!C5/area!$I5</f>
        <v>0.819266579949866</v>
      </c>
      <c r="D5" s="0" t="n">
        <f aca="false">area!D5/area!$I5</f>
        <v>0.0150951809232625</v>
      </c>
      <c r="E5" s="0" t="n">
        <f aca="false">area!E5/area!$I5</f>
        <v>0.0828191195634355</v>
      </c>
      <c r="F5" s="0" t="n">
        <f aca="false">area!F5/area!$I5</f>
        <v>0.0828191195634355</v>
      </c>
      <c r="G5" s="0" t="n">
        <f aca="false">area!G5/area!$I5</f>
        <v>0</v>
      </c>
      <c r="H5" s="0" t="n">
        <f aca="false">area!H5/area!$I5</f>
        <v>0</v>
      </c>
      <c r="I5" s="0" t="n">
        <f aca="false">area!I5/area!$I5</f>
        <v>1</v>
      </c>
      <c r="J5" s="0" t="n">
        <f aca="false">area!J5/area!$I$2</f>
        <v>0.603183537686914</v>
      </c>
    </row>
    <row r="6" customFormat="false" ht="13.8" hidden="false" customHeight="false" outlineLevel="0" collapsed="false">
      <c r="A6" s="0" t="n">
        <v>-4.87555555555556</v>
      </c>
      <c r="B6" s="0" t="n">
        <v>2048</v>
      </c>
      <c r="C6" s="0" t="n">
        <f aca="false">area!C6/area!$I6</f>
        <v>0.81980849647455</v>
      </c>
      <c r="D6" s="0" t="n">
        <f aca="false">area!D6/area!$I6</f>
        <v>0.015004588066424</v>
      </c>
      <c r="E6" s="0" t="n">
        <f aca="false">area!E6/area!$I6</f>
        <v>0.0825934577295132</v>
      </c>
      <c r="F6" s="0" t="n">
        <f aca="false">area!F6/area!$I6</f>
        <v>0.0825934577295132</v>
      </c>
      <c r="G6" s="0" t="n">
        <f aca="false">area!G6/area!$I6</f>
        <v>0</v>
      </c>
      <c r="H6" s="0" t="n">
        <f aca="false">area!H6/area!$I6</f>
        <v>0</v>
      </c>
      <c r="I6" s="0" t="n">
        <f aca="false">area!I6/area!$I6</f>
        <v>1</v>
      </c>
      <c r="J6" s="0" t="n">
        <f aca="false">area!J6/area!$I$2</f>
        <v>0.736137719752764</v>
      </c>
    </row>
    <row r="7" customFormat="false" ht="13.8" hidden="false" customHeight="false" outlineLevel="0" collapsed="false">
      <c r="A7" s="0" t="n">
        <v>-2.33722222222222</v>
      </c>
      <c r="B7" s="0" t="n">
        <v>2048</v>
      </c>
      <c r="C7" s="0" t="n">
        <f aca="false">area!C7/area!$I7</f>
        <v>0.817603463252045</v>
      </c>
      <c r="D7" s="0" t="n">
        <f aca="false">area!D7/area!$I7</f>
        <v>0.0155169332456937</v>
      </c>
      <c r="E7" s="0" t="n">
        <f aca="false">area!E7/area!$I7</f>
        <v>0.0834398017511307</v>
      </c>
      <c r="F7" s="0" t="n">
        <f aca="false">area!F7/area!$I7</f>
        <v>0.0834398017511307</v>
      </c>
      <c r="G7" s="0" t="n">
        <f aca="false">area!G7/area!$I7</f>
        <v>0</v>
      </c>
      <c r="H7" s="0" t="n">
        <f aca="false">area!H7/area!$I7</f>
        <v>0</v>
      </c>
      <c r="I7" s="0" t="n">
        <f aca="false">area!I7/area!$I7</f>
        <v>1</v>
      </c>
      <c r="J7" s="0" t="n">
        <f aca="false">area!J7/area!$I$2</f>
        <v>0.697086760898549</v>
      </c>
    </row>
    <row r="8" customFormat="false" ht="13.8" hidden="false" customHeight="false" outlineLevel="0" collapsed="false">
      <c r="A8" s="0" t="n">
        <v>116.801111111111</v>
      </c>
      <c r="B8" s="0" t="n">
        <v>1024</v>
      </c>
      <c r="C8" s="0" t="n">
        <f aca="false">area!C8/area!$I8</f>
        <v>0.549113223067461</v>
      </c>
      <c r="D8" s="0" t="n">
        <f aca="false">area!D8/area!$I8</f>
        <v>0.0465628856809409</v>
      </c>
      <c r="E8" s="0" t="n">
        <f aca="false">area!E8/area!$I8</f>
        <v>0.174480755503135</v>
      </c>
      <c r="F8" s="0" t="n">
        <f aca="false">area!F8/area!$I8</f>
        <v>0.174480755503135</v>
      </c>
      <c r="G8" s="0" t="n">
        <f aca="false">area!G8/area!$I8</f>
        <v>0.0434398143721335</v>
      </c>
      <c r="H8" s="0" t="n">
        <f aca="false">area!H8/area!$I8</f>
        <v>0.0119225658731936</v>
      </c>
      <c r="I8" s="0" t="n">
        <f aca="false">area!I8/area!$I8</f>
        <v>1</v>
      </c>
      <c r="J8" s="0" t="n">
        <f aca="false">area!J8/area!$I$2</f>
        <v>0.165428180056418</v>
      </c>
    </row>
    <row r="9" customFormat="false" ht="13.8" hidden="false" customHeight="false" outlineLevel="0" collapsed="false">
      <c r="A9" s="0" t="n">
        <v>119.680555555556</v>
      </c>
      <c r="B9" s="0" t="n">
        <v>4096</v>
      </c>
      <c r="C9" s="0" t="n">
        <f aca="false">area!C9/area!$I9</f>
        <v>0.549956710814428</v>
      </c>
      <c r="D9" s="0" t="n">
        <f aca="false">area!D9/area!$I9</f>
        <v>0.0507096313947034</v>
      </c>
      <c r="E9" s="0" t="n">
        <f aca="false">area!E9/area!$I9</f>
        <v>0.159500859282319</v>
      </c>
      <c r="F9" s="0" t="n">
        <f aca="false">area!F9/area!$I9</f>
        <v>0.159500859282319</v>
      </c>
      <c r="G9" s="0" t="n">
        <f aca="false">area!G9/area!$I9</f>
        <v>0.0591932324940233</v>
      </c>
      <c r="H9" s="0" t="n">
        <f aca="false">area!H9/area!$I9</f>
        <v>0.0211387067322065</v>
      </c>
      <c r="I9" s="0" t="n">
        <f aca="false">area!I9/area!$I9</f>
        <v>1</v>
      </c>
      <c r="J9" s="0" t="n">
        <f aca="false">area!J9/area!$I$2</f>
        <v>0.231562816048192</v>
      </c>
    </row>
    <row r="10" customFormat="false" ht="13.8" hidden="false" customHeight="false" outlineLevel="0" collapsed="false">
      <c r="A10" s="0" t="n">
        <v>135.582222222222</v>
      </c>
      <c r="B10" s="0" t="n">
        <v>1024</v>
      </c>
      <c r="C10" s="0" t="n">
        <f aca="false">area!C10/area!$I10</f>
        <v>0.551737345055066</v>
      </c>
      <c r="D10" s="0" t="n">
        <f aca="false">area!D10/area!$I10</f>
        <v>0.0518964425035013</v>
      </c>
      <c r="E10" s="0" t="n">
        <f aca="false">area!E10/area!$I10</f>
        <v>0.198183106220716</v>
      </c>
      <c r="F10" s="0" t="n">
        <f aca="false">area!F10/area!$I10</f>
        <v>0.198183106220716</v>
      </c>
      <c r="G10" s="0" t="n">
        <f aca="false">area!G10/area!$I10</f>
        <v>0</v>
      </c>
      <c r="H10" s="0" t="n">
        <f aca="false">area!H10/area!$I10</f>
        <v>0</v>
      </c>
      <c r="I10" s="0" t="n">
        <f aca="false">area!I10/area!$I10</f>
        <v>1</v>
      </c>
      <c r="J10" s="0" t="n">
        <f aca="false">area!J10/area!$I$2</f>
        <v>0.0876937234612681</v>
      </c>
    </row>
    <row r="11" customFormat="false" ht="13.8" hidden="false" customHeight="false" outlineLevel="0" collapsed="false">
      <c r="A11" s="0" t="n">
        <v>91.8377777777778</v>
      </c>
      <c r="B11" s="0" t="n">
        <v>1024</v>
      </c>
      <c r="C11" s="0" t="n">
        <f aca="false">area!C11/area!$I11</f>
        <v>0.306306245923154</v>
      </c>
      <c r="D11" s="0" t="n">
        <f aca="false">area!D11/area!$I11</f>
        <v>0.0686891761231103</v>
      </c>
      <c r="E11" s="0" t="n">
        <f aca="false">area!E11/area!$I11</f>
        <v>0.230550607840181</v>
      </c>
      <c r="F11" s="0" t="n">
        <f aca="false">area!F11/area!$I11</f>
        <v>0.230550607840181</v>
      </c>
      <c r="G11" s="0" t="n">
        <f aca="false">area!G11/area!$I11</f>
        <v>0.113801075526849</v>
      </c>
      <c r="H11" s="0" t="n">
        <f aca="false">area!H11/area!$I11</f>
        <v>0.0501022867465262</v>
      </c>
      <c r="I11" s="0" t="n">
        <f aca="false">area!I11/area!$I11</f>
        <v>1</v>
      </c>
      <c r="J11" s="0" t="n">
        <f aca="false">area!J11/area!$I$2</f>
        <v>0.189248713383554</v>
      </c>
    </row>
    <row r="12" customFormat="false" ht="13.8" hidden="false" customHeight="false" outlineLevel="0" collapsed="false">
      <c r="A12" s="0" t="n">
        <v>93.0961111111111</v>
      </c>
      <c r="B12" s="0" t="n">
        <v>1024</v>
      </c>
      <c r="C12" s="0" t="n">
        <f aca="false">area!C12/area!$I12</f>
        <v>0.29038115296171</v>
      </c>
      <c r="D12" s="0" t="n">
        <f aca="false">area!D12/area!$I12</f>
        <v>0.0635343420907941</v>
      </c>
      <c r="E12" s="0" t="n">
        <f aca="false">area!E12/area!$I12</f>
        <v>0.23636253217529</v>
      </c>
      <c r="F12" s="0" t="n">
        <f aca="false">area!F12/area!$I12</f>
        <v>0.23636253217529</v>
      </c>
      <c r="G12" s="0" t="n">
        <f aca="false">area!G12/area!$I12</f>
        <v>0.119150454023742</v>
      </c>
      <c r="H12" s="0" t="n">
        <f aca="false">area!H12/area!$I12</f>
        <v>0.0542089865731745</v>
      </c>
      <c r="I12" s="0" t="n">
        <f aca="false">area!I12/area!$I12</f>
        <v>1</v>
      </c>
      <c r="J12" s="0" t="n">
        <f aca="false">area!J12/area!$I$2</f>
        <v>0.112956657094419</v>
      </c>
    </row>
    <row r="13" customFormat="false" ht="13.8" hidden="false" customHeight="false" outlineLevel="0" collapsed="false">
      <c r="A13" s="0" t="n">
        <v>96.0861111111111</v>
      </c>
      <c r="B13" s="0" t="n">
        <v>4096</v>
      </c>
      <c r="C13" s="0" t="n">
        <f aca="false">area!C13/area!$I13</f>
        <v>0.307098775289286</v>
      </c>
      <c r="D13" s="0" t="n">
        <f aca="false">area!D13/area!$I13</f>
        <v>0.0684766309457106</v>
      </c>
      <c r="E13" s="0" t="n">
        <f aca="false">area!E13/area!$I13</f>
        <v>0.22505703379808</v>
      </c>
      <c r="F13" s="0" t="n">
        <f aca="false">area!F13/area!$I13</f>
        <v>0.22505703379808</v>
      </c>
      <c r="G13" s="0" t="n">
        <f aca="false">area!G13/area!$I13</f>
        <v>0.119645680359397</v>
      </c>
      <c r="H13" s="0" t="n">
        <f aca="false">area!H13/area!$I13</f>
        <v>0.0546648458094463</v>
      </c>
      <c r="I13" s="0" t="n">
        <f aca="false">area!I13/area!$I13</f>
        <v>1</v>
      </c>
      <c r="J13" s="0" t="n">
        <f aca="false">area!J13/area!$I$2</f>
        <v>0.142535133349903</v>
      </c>
    </row>
    <row r="14" customFormat="false" ht="13.8" hidden="false" customHeight="false" outlineLevel="0" collapsed="false">
      <c r="A14" s="0" t="n">
        <v>72.4872222222222</v>
      </c>
      <c r="B14" s="0" t="n">
        <v>2048</v>
      </c>
      <c r="C14" s="0" t="n">
        <f aca="false">area!C14/area!$I14</f>
        <v>0.163577919292937</v>
      </c>
      <c r="D14" s="0" t="n">
        <f aca="false">area!D14/area!$I14</f>
        <v>0.0806547230967772</v>
      </c>
      <c r="E14" s="0" t="n">
        <f aca="false">area!E14/area!$I14</f>
        <v>0.241473910863372</v>
      </c>
      <c r="F14" s="0" t="n">
        <f aca="false">area!F14/area!$I14</f>
        <v>0.241473910863372</v>
      </c>
      <c r="G14" s="0" t="n">
        <f aca="false">area!G14/area!$I14</f>
        <v>0.189746314075439</v>
      </c>
      <c r="H14" s="0" t="n">
        <f aca="false">area!H14/area!$I14</f>
        <v>0.0830732218081019</v>
      </c>
      <c r="I14" s="0" t="n">
        <f aca="false">area!I14/area!$I14</f>
        <v>1</v>
      </c>
      <c r="J14" s="0" t="n">
        <f aca="false">area!J14/area!$I$2</f>
        <v>0.0956817423563756</v>
      </c>
    </row>
    <row r="15" customFormat="false" ht="13.8" hidden="false" customHeight="false" outlineLevel="0" collapsed="false">
      <c r="A15" s="0" t="n">
        <v>89.3141666666667</v>
      </c>
      <c r="B15" s="0" t="n">
        <v>1024</v>
      </c>
      <c r="C15" s="0" t="n">
        <f aca="false">area!C15/area!$I15</f>
        <v>0.145529177645388</v>
      </c>
      <c r="D15" s="0" t="n">
        <f aca="false">area!D15/area!$I15</f>
        <v>0.0803067104521789</v>
      </c>
      <c r="E15" s="0" t="n">
        <f aca="false">area!E15/area!$I15</f>
        <v>0.263683766286894</v>
      </c>
      <c r="F15" s="0" t="n">
        <f aca="false">area!F15/area!$I15</f>
        <v>0.263683766286894</v>
      </c>
      <c r="G15" s="0" t="n">
        <f aca="false">area!G15/area!$I15</f>
        <v>0.174245925472938</v>
      </c>
      <c r="H15" s="0" t="n">
        <f aca="false">area!H15/area!$I15</f>
        <v>0.0725506538557058</v>
      </c>
      <c r="I15" s="0" t="n">
        <f aca="false">area!I15/area!$I15</f>
        <v>1</v>
      </c>
      <c r="J15" s="0" t="n">
        <f aca="false">area!J15/area!$I$2</f>
        <v>0.0768405977503678</v>
      </c>
    </row>
    <row r="16" customFormat="false" ht="13.8" hidden="false" customHeight="false" outlineLevel="0" collapsed="false">
      <c r="A16" s="0" t="n">
        <v>90.5220833333333</v>
      </c>
      <c r="B16" s="0" t="n">
        <v>1024</v>
      </c>
      <c r="C16" s="0" t="n">
        <f aca="false">area!C16/area!$I16</f>
        <v>0.150562697176458</v>
      </c>
      <c r="D16" s="0" t="n">
        <f aca="false">area!D16/area!$I16</f>
        <v>0.0758919255674392</v>
      </c>
      <c r="E16" s="0" t="n">
        <f aca="false">area!E16/area!$I16</f>
        <v>0.258844361027777</v>
      </c>
      <c r="F16" s="0" t="n">
        <f aca="false">area!F16/area!$I16</f>
        <v>0.258844361027777</v>
      </c>
      <c r="G16" s="0" t="n">
        <f aca="false">area!G16/area!$I16</f>
        <v>0.181068285092129</v>
      </c>
      <c r="H16" s="0" t="n">
        <f aca="false">area!H16/area!$I16</f>
        <v>0.0747883701084191</v>
      </c>
      <c r="I16" s="0" t="n">
        <f aca="false">area!I16/area!$I16</f>
        <v>1</v>
      </c>
      <c r="J16" s="0" t="n">
        <f aca="false">area!J16/area!$I$2</f>
        <v>0.0841821787599901</v>
      </c>
    </row>
    <row r="17" customFormat="false" ht="13.8" hidden="false" customHeight="false" outlineLevel="0" collapsed="false">
      <c r="A17" s="0" t="n">
        <v>65.6222222222222</v>
      </c>
      <c r="B17" s="0" t="n">
        <v>4096</v>
      </c>
      <c r="C17" s="0" t="n">
        <f aca="false">area!C17/area!$I17</f>
        <v>0.408920942245432</v>
      </c>
      <c r="D17" s="0" t="n">
        <f aca="false">area!D17/area!$I17</f>
        <v>0.0397798323104047</v>
      </c>
      <c r="E17" s="0" t="n">
        <f aca="false">area!E17/area!$I17</f>
        <v>0.128879000992114</v>
      </c>
      <c r="F17" s="0" t="n">
        <f aca="false">area!F17/area!$I17</f>
        <v>0.128879000992114</v>
      </c>
      <c r="G17" s="0" t="n">
        <f aca="false">area!G17/area!$I17</f>
        <v>0.208218946303905</v>
      </c>
      <c r="H17" s="0" t="n">
        <f aca="false">area!H17/area!$I17</f>
        <v>0.0853222771560309</v>
      </c>
      <c r="I17" s="0" t="n">
        <f aca="false">area!I17/area!$I17</f>
        <v>1</v>
      </c>
      <c r="J17" s="0" t="n">
        <f aca="false">area!J17/area!$I$2</f>
        <v>0.36444605135575</v>
      </c>
    </row>
    <row r="18" customFormat="false" ht="13.8" hidden="false" customHeight="false" outlineLevel="0" collapsed="false">
      <c r="A18" s="0" t="n">
        <v>69.125</v>
      </c>
      <c r="B18" s="0" t="n">
        <v>1024</v>
      </c>
      <c r="C18" s="0" t="n">
        <f aca="false">area!C18/area!$I18</f>
        <v>0.410079015622744</v>
      </c>
      <c r="D18" s="0" t="n">
        <f aca="false">area!D18/area!$I18</f>
        <v>0.0400748506225516</v>
      </c>
      <c r="E18" s="0" t="n">
        <f aca="false">area!E18/area!$I18</f>
        <v>0.125229481767455</v>
      </c>
      <c r="F18" s="0" t="n">
        <f aca="false">area!F18/area!$I18</f>
        <v>0.125229481767455</v>
      </c>
      <c r="G18" s="0" t="n">
        <f aca="false">area!G18/area!$I18</f>
        <v>0.213024329458706</v>
      </c>
      <c r="H18" s="0" t="n">
        <f aca="false">area!H18/area!$I18</f>
        <v>0.0863628407610874</v>
      </c>
      <c r="I18" s="0" t="n">
        <f aca="false">area!I18/area!$I18</f>
        <v>1</v>
      </c>
      <c r="J18" s="0" t="n">
        <f aca="false">area!J18/area!$I$2</f>
        <v>0.35006454445971</v>
      </c>
    </row>
    <row r="19" customFormat="false" ht="13.8" hidden="false" customHeight="false" outlineLevel="0" collapsed="false">
      <c r="A19" s="0" t="n">
        <v>70.4906944444444</v>
      </c>
      <c r="B19" s="0" t="n">
        <v>1024</v>
      </c>
      <c r="C19" s="0" t="n">
        <f aca="false">area!C19/area!$I19</f>
        <v>0.411785602359867</v>
      </c>
      <c r="D19" s="0" t="n">
        <f aca="false">area!D19/area!$I19</f>
        <v>0.0417437397545795</v>
      </c>
      <c r="E19" s="0" t="n">
        <f aca="false">area!E19/area!$I19</f>
        <v>0.123334145919141</v>
      </c>
      <c r="F19" s="0" t="n">
        <f aca="false">area!F19/area!$I19</f>
        <v>0.123334145919141</v>
      </c>
      <c r="G19" s="0" t="n">
        <f aca="false">area!G19/area!$I19</f>
        <v>0.212690915637519</v>
      </c>
      <c r="H19" s="0" t="n">
        <f aca="false">area!H19/area!$I19</f>
        <v>0.0871114504097525</v>
      </c>
      <c r="I19" s="0" t="n">
        <f aca="false">area!I19/area!$I19</f>
        <v>1</v>
      </c>
      <c r="J19" s="0" t="n">
        <f aca="false">area!J19/area!$I$2</f>
        <v>0.340811134322463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2022-04-22T19:26:44Z</dcterms:created>
  <dc:creator/>
  <dc:description/>
  <dc:language>en-US</dc:language>
  <cp:lastModifiedBy/>
  <dcterms:modified xsi:type="dcterms:W3CDTF">2025-02-11T09:48:13Z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